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 Print" sheetId="1" state="visible" r:id="rId3"/>
    <sheet name="Entry" sheetId="2" state="visible" r:id="rId4"/>
  </sheets>
  <definedNames>
    <definedName function="false" hidden="true" localSheetId="0" name="ExternalData_1" vbProcedure="false">'PO Print'!$A$15:$J$21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<sst xmlns="http://schemas.openxmlformats.org/spreadsheetml/2006/main" count="53" uniqueCount="51">
  <si>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Purchase Order</t>
  </si>
  <si>
    <t xml:space="preserve">Vendor :</t>
  </si>
  <si>
    <t xml:space="preserve">TIN :
</t>
  </si>
  <si>
    <t xml:space="preserve">P.O. No :</t>
  </si>
  <si>
    <t xml:space="preserve">Delivery Date :</t>
  </si>
  <si>
    <t xml:space="preserve">Delivery Time :</t>
  </si>
  <si>
    <t xml:space="preserve">Delivery location :</t>
  </si>
  <si>
    <t xml:space="preserve">Contact Number :</t>
  </si>
  <si>
    <t xml:space="preserve">Quotation number :</t>
  </si>
  <si>
    <t xml:space="preserve">Payment Terms :</t>
  </si>
  <si>
    <t xml:space="preserve">Attn :</t>
  </si>
  <si>
    <t xml:space="preserve">We are pleased to place our order for the following items and request you to delivery the items on the requested date above mentioned</t>
  </si>
  <si>
    <t xml:space="preserve">Please send invoices to stores@angaga.com.mv and cc to procurement@happymarket.com.mv as same day when delivering goods. Even If  you Issued a HardCopy </t>
  </si>
  <si>
    <t xml:space="preserve">No.</t>
  </si>
  <si>
    <t xml:space="preserve">Item Name</t>
  </si>
  <si>
    <t xml:space="preserve">Unit</t>
  </si>
  <si>
    <t xml:space="preserve">Qty</t>
  </si>
  <si>
    <t xml:space="preserve">Rate</t>
  </si>
  <si>
    <t xml:space="preserve">Sub Total</t>
  </si>
  <si>
    <t xml:space="preserve">Gst</t>
  </si>
  <si>
    <t xml:space="preserve">Total</t>
  </si>
  <si>
    <t xml:space="preserve">REMARKS</t>
  </si>
  <si>
    <t xml:space="preserve">Resort Ref</t>
  </si>
  <si>
    <t xml:space="preserve">SUB</t>
  </si>
  <si>
    <t xml:space="preserve">GST</t>
  </si>
  <si>
    <t xml:space="preserve">TOTAL(MVR)</t>
  </si>
  <si>
    <t xml:space="preserve">Terms :</t>
  </si>
  <si>
    <t xml:space="preserve"> </t>
  </si>
  <si>
    <t xml:space="preserve">1. Please quote order number when submitting bills.</t>
  </si>
  <si>
    <t xml:space="preserve">2. Any discrepancy in rates of Purchase Order with agreed rates should be informed immediately and make the necessary adjustments before releasing the items.</t>
  </si>
  <si>
    <t xml:space="preserve">3. This PO is valid for 3 days from the date of PO, Invoices should be issued within 3 days of the PO date and attach a copy.</t>
  </si>
  <si>
    <t xml:space="preserve">4. Please inform if the payment is not received for the above within 45 days.</t>
  </si>
  <si>
    <t xml:space="preserve">Authorized By</t>
  </si>
  <si>
    <t xml:space="preserve">TIN NUMBER :</t>
  </si>
  <si>
    <t xml:space="preserve">VENDOR :</t>
  </si>
  <si>
    <t xml:space="preserve">PO NUMBER :</t>
  </si>
  <si>
    <t xml:space="preserve">DELIVERY DATE :</t>
  </si>
  <si>
    <t xml:space="preserve">DELIVERY TIME :</t>
  </si>
  <si>
    <t xml:space="preserve">DELIVERY LOCATION :</t>
  </si>
  <si>
    <t xml:space="preserve">CONTACT NUMBER :</t>
  </si>
  <si>
    <t xml:space="preserve">QUOTATION NUMBER :</t>
  </si>
  <si>
    <t xml:space="preserve">GST EXCLUDED</t>
  </si>
  <si>
    <t xml:space="preserve">GST %</t>
  </si>
  <si>
    <t xml:space="preserve">LINE ITEM</t>
  </si>
  <si>
    <t xml:space="preserve">UNIT</t>
  </si>
  <si>
    <t xml:space="preserve">QTY</t>
  </si>
  <si>
    <t xml:space="preserve">RATE</t>
  </si>
  <si>
    <t xml:space="preserve">PO</t>
  </si>
  <si>
    <t xml:space="preserve">GST APPLICABLE</t>
  </si>
  <si>
    <t xml:space="preserve">SUB TOTAL</t>
  </si>
  <si>
    <t xml:space="preserve">TOTAL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</si>
</sst>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_-;\-* #,##0.00_-;_-* \-??_-;_-@_-"/>
    <numFmt numFmtId="166" formatCode="_(* #,##0.00_);_(* \(#,##0.00\);_(* \-??_);_(@_)"/>
    <numFmt numFmtId="167" formatCode="_(\$* #,##0.00_);_(\$* \(#,##0.00\);_(\$* \-??_);_(@_)"/>
    <numFmt numFmtId="168" formatCode="dd\-mmm\-yyyy\ hh:mm"/>
    <numFmt numFmtId="169" formatCode="General"/>
    <numFmt numFmtId="170" formatCode="m/d/yyyy"/>
    <numFmt numFmtId="171" formatCode="d\-mmm\-yy"/>
    <numFmt numFmtId="172" formatCode="#,##0"/>
    <numFmt numFmtId="173" formatCode="dd\-mmm\-yy\ dddd"/>
    <numFmt numFmtId="174" formatCode="0.00"/>
    <numFmt numFmtId="175" formatCode="#,##0.00"/>
    <numFmt numFmtId="176" formatCode="#,##0.00_);\(#,##0.00\)"/>
  </numFmts>
  <fonts count="30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6"/>
      <color rgb="FF7E0000"/>
      <name val="Times New Roman"/>
      <family val="2"/>
      <charset val="204"/>
    </font>
    <font>
      <b val="true"/>
      <sz val="9"/>
      <name val="Faruma"/>
      <family val="0"/>
      <charset val="1"/>
    </font>
    <font>
      <sz val="8"/>
      <name val="Times New Roman"/>
      <family val="2"/>
      <charset val="1"/>
    </font>
    <font>
      <b val="true"/>
      <sz val="9"/>
      <color rgb="FF000000"/>
      <name val="Arial Narrow"/>
      <family val="2"/>
      <charset val="1"/>
    </font>
    <font>
      <sz val="8"/>
      <name val="Arial Narrow"/>
      <family val="2"/>
      <charset val="1"/>
    </font>
    <font>
      <sz val="10"/>
      <color rgb="FF000000"/>
      <name val="Arial Narrow"/>
      <family val="2"/>
      <charset val="1"/>
    </font>
    <font>
      <b val="true"/>
      <sz val="9"/>
      <name val="Arial Narrow"/>
      <family val="2"/>
      <charset val="1"/>
    </font>
    <font>
      <sz val="9"/>
      <name val="Arial Narrow"/>
      <family val="2"/>
      <charset val="1"/>
    </font>
    <font>
      <b val="true"/>
      <sz val="11"/>
      <name val="Arial Narrow"/>
      <family val="2"/>
      <charset val="1"/>
    </font>
    <font>
      <b val="true"/>
      <sz val="10"/>
      <name val="Arial Narrow"/>
      <family val="2"/>
      <charset val="1"/>
    </font>
    <font>
      <sz val="11"/>
      <color rgb="FF7E0000"/>
      <name val="Arial Narrow"/>
      <family val="0"/>
      <charset val="1"/>
    </font>
    <font>
      <b val="true"/>
      <sz val="11"/>
      <color rgb="FF7E0000"/>
      <name val="Arial Narrow"/>
      <family val="2"/>
      <charset val="1"/>
    </font>
    <font>
      <sz val="9"/>
      <color rgb="FF000000"/>
      <name val="Arial Narrow"/>
      <family val="2"/>
      <charset val="1"/>
    </font>
    <font>
      <b val="true"/>
      <sz val="10"/>
      <color rgb="FF000000"/>
      <name val="Arial Narrow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 Narrow"/>
      <family val="2"/>
      <charset val="1"/>
    </font>
    <font>
      <b val="true"/>
      <sz val="10"/>
      <color rgb="FFFF0000"/>
      <name val="Arial Narrow"/>
      <family val="2"/>
      <charset val="1"/>
    </font>
    <font>
      <b val="true"/>
      <sz val="8"/>
      <color rgb="FF000000"/>
      <name val="Arial Narrow"/>
      <family val="2"/>
      <charset val="1"/>
    </font>
    <font>
      <sz val="9"/>
      <color rgb="FF000000"/>
      <name val="Times New Roman"/>
      <family val="1"/>
      <charset val="1"/>
    </font>
    <font>
      <sz val="8"/>
      <color rgb="FFFF0000"/>
      <name val="Arial"/>
      <family val="2"/>
      <charset val="1"/>
    </font>
    <font>
      <sz val="6"/>
      <color rgb="FF000000"/>
      <name val="comic"/>
      <family val="5"/>
      <charset val="1"/>
    </font>
    <font>
      <sz val="10"/>
      <color rgb="FFFF0000"/>
      <name val="Arial"/>
      <family val="2"/>
      <charset val="1"/>
    </font>
    <font>
      <sz val="10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1"/>
        <bgColor rgb="FF0033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3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9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3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" xfId="3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3" xfId="3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3" xfId="3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14" fillId="0" borderId="3" xfId="32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14" fillId="0" borderId="2" xfId="32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0" xfId="32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32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22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22" fillId="0" borderId="0" xfId="15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5" fontId="20" fillId="0" borderId="0" xfId="15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4" xfId="15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20" fillId="0" borderId="4" xfId="15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22" fillId="0" borderId="0" xfId="15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33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6" fillId="0" borderId="0" xfId="33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8" fillId="0" borderId="0" xfId="33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71" fontId="28" fillId="0" borderId="0" xfId="33" applyFont="true" applyBorder="true" applyAlignment="true" applyProtection="true">
      <alignment horizontal="left" vertical="top" textRotation="0" wrapText="true" indent="0" shrinkToFit="false"/>
      <protection locked="false" hidden="false"/>
    </xf>
    <xf numFmtId="172" fontId="28" fillId="0" borderId="0" xfId="33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9" fontId="28" fillId="0" borderId="0" xfId="33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9" fontId="6" fillId="0" borderId="0" xfId="33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29" fillId="2" borderId="10" xfId="33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9" fillId="2" borderId="7" xfId="33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9" fillId="3" borderId="10" xfId="3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10" xfId="33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8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2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33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6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1" xfId="33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28" fillId="0" borderId="10" xfId="33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28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2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5" fontId="2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8" fillId="0" borderId="0" xfId="1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1" xfId="33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8" fillId="0" borderId="0" xfId="33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3" xfId="33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1" xfId="15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8" fillId="0" borderId="11" xfId="15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5" fontId="28" fillId="0" borderId="11" xfId="15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5" fontId="28" fillId="0" borderId="3" xfId="15" applyFont="true" applyBorder="true" applyAlignment="true" applyProtection="true">
      <alignment horizontal="general" vertical="top" textRotation="0" wrapText="false" indent="0" shrinkToFit="false"/>
      <protection locked="fals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2 2" xfId="28"/>
    <cellStyle name="Currency 3" xfId="29"/>
    <cellStyle name="Normal 2" xfId="30"/>
    <cellStyle name="Normal 2 2" xfId="31"/>
    <cellStyle name="Normal 3" xfId="32"/>
    <cellStyle name="Normal 4" xfId="33"/>
    <cellStyle name="Normal 5" xfId="34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219240</xdr:colOff>
      <xdr:row>27</xdr:row>
      <xdr:rowOff>0</xdr:rowOff>
    </xdr:from>
    <xdr:to>
      <xdr:col>7</xdr:col>
      <xdr:colOff>152280</xdr:colOff>
      <xdr:row>31</xdr:row>
      <xdr:rowOff>161640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933360" y="5067360"/>
          <a:ext cx="90576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DataTable" displayName="DataTable" ref="A12:J100" headerRowCount="1" totalsRowCount="0" totalsRowShown="0">
  <autoFilter ref="A12:J100"/>
  <tableColumns count="10">
    <tableColumn id="1" name="LINE ITEM"/>
    <tableColumn id="2" name="UNIT"/>
    <tableColumn id="3" name="QTY"/>
    <tableColumn id="4" name="RATE"/>
    <tableColumn id="5" name="REMARKS"/>
    <tableColumn id="6" name="PO"/>
    <tableColumn id="7" name="GST APPLICABLE"/>
    <tableColumn id="8" name="SUB TOTAL"/>
    <tableColumn id="9" name="GST"/>
    <tableColumn id="10" name="TOTAL"/>
  </tableColumns>
</table>
</file>

<file path=xl/tables/table2.xml><?xml version="1.0" encoding="utf-8"?>
<table xmlns="http://schemas.openxmlformats.org/spreadsheetml/2006/main" id="2" name="ItemsTable" displayName="ItemsTable" ref="A15:J21" headerRowCount="1" totalsRowCount="0" totalsRowShown="0">
  <autoFilter ref="A15:J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10">
    <tableColumn id="1" name="No."/>
    <tableColumn id="2" name="Item Name"/>
    <tableColumn id="3" name="Unit"/>
    <tableColumn id="4" name="Qty"/>
    <tableColumn id="5" name="Rate"/>
    <tableColumn id="6" name="Sub Total"/>
    <tableColumn id="7" name="Gst"/>
    <tableColumn id="8" name="Total"/>
    <tableColumn id="9" name="REMARKS"/>
    <tableColumn id="10" name="Resort Re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9.33203125" defaultRowHeight="12.75" zeroHeight="false" outlineLevelRow="0" outlineLevelCol="0"/>
  <cols>
    <col collapsed="false" customWidth="true" hidden="false" outlineLevel="0" max="1" min="1" style="0" width="3.66"/>
    <col collapsed="false" customWidth="true" hidden="false" outlineLevel="0" max="2" min="2" style="0" width="35"/>
    <col collapsed="false" customWidth="true" hidden="false" outlineLevel="0" max="3" min="3" style="1" width="6.83"/>
    <col collapsed="false" customWidth="true" hidden="false" outlineLevel="0" max="4" min="4" style="0" width="5"/>
    <col collapsed="false" customWidth="true" hidden="false" outlineLevel="0" max="5" min="5" style="0" width="8"/>
    <col collapsed="false" customWidth="true" hidden="false" outlineLevel="0" max="6" min="6" style="0" width="8.16"/>
    <col collapsed="false" customWidth="true" hidden="false" outlineLevel="0" max="7" min="7" style="0" width="7.16"/>
    <col collapsed="false" customWidth="true" hidden="false" outlineLevel="0" max="8" min="8" style="0" width="10.83"/>
    <col collapsed="false" customWidth="true" hidden="false" outlineLevel="0" max="10" min="9" style="0" width="12.66"/>
    <col collapsed="false" customWidth="true" hidden="false" outlineLevel="0" max="11" min="11" style="0" width="13.16"/>
    <col collapsed="false" customWidth="true" hidden="false" outlineLevel="0" max="12" min="12" style="0" width="17.66"/>
  </cols>
  <sheetData>
    <row r="1" customFormat="false" ht="20.25" hidden="false" customHeight="true" outlineLevel="0" collapsed="false">
      <c r="A1" s="2" t="s">
        <v>0</v>
      </c>
      <c r="B1" s="2"/>
      <c r="C1" s="3"/>
      <c r="D1" s="4"/>
      <c r="E1" s="4"/>
      <c r="G1" s="4"/>
      <c r="H1" s="5" t="n">
        <f aca="true">NOW()</f>
        <v>46239.3939938339</v>
      </c>
      <c r="I1" s="5"/>
      <c r="J1" s="5"/>
      <c r="K1" s="6"/>
      <c r="L1" s="4"/>
    </row>
    <row r="2" customFormat="false" ht="27" hidden="false" customHeight="true" outlineLevel="0" collapsed="false">
      <c r="A2" s="7" t="s">
        <v>1</v>
      </c>
      <c r="B2" s="8"/>
      <c r="C2" s="9"/>
      <c r="D2" s="10"/>
      <c r="E2" s="10"/>
      <c r="F2" s="11"/>
      <c r="G2" s="12" t="s">
        <v>2</v>
      </c>
      <c r="H2" s="11"/>
      <c r="I2" s="13" t="n">
        <f aca="false">Entry!B1</f>
        <v>0</v>
      </c>
      <c r="J2" s="14"/>
      <c r="K2" s="15"/>
      <c r="L2" s="16"/>
    </row>
    <row r="3" customFormat="false" ht="13.5" hidden="false" customHeight="true" outlineLevel="0" collapsed="false">
      <c r="A3" s="17"/>
      <c r="B3" s="18" t="n">
        <f aca="false">Entry!B2</f>
        <v>0</v>
      </c>
      <c r="C3" s="9"/>
      <c r="D3" s="10"/>
      <c r="E3" s="10"/>
      <c r="F3" s="11"/>
      <c r="G3" s="19" t="s">
        <v>3</v>
      </c>
      <c r="H3" s="11"/>
      <c r="I3" s="20" t="n">
        <f aca="false">Entry!B3</f>
        <v>0</v>
      </c>
      <c r="J3" s="14"/>
      <c r="K3" s="15"/>
      <c r="L3" s="16"/>
    </row>
    <row r="4" customFormat="false" ht="13.5" hidden="false" customHeight="true" outlineLevel="0" collapsed="false">
      <c r="A4" s="17"/>
      <c r="B4" s="18"/>
      <c r="C4" s="9"/>
      <c r="D4" s="10"/>
      <c r="E4" s="10"/>
      <c r="F4" s="11"/>
      <c r="G4" s="21" t="s">
        <v>4</v>
      </c>
      <c r="H4" s="16"/>
      <c r="I4" s="22" t="n">
        <f aca="false">Entry!B4</f>
        <v>0</v>
      </c>
      <c r="J4" s="14"/>
      <c r="K4" s="15"/>
      <c r="L4" s="16"/>
    </row>
    <row r="5" customFormat="false" ht="13.5" hidden="false" customHeight="true" outlineLevel="0" collapsed="false">
      <c r="A5" s="17"/>
      <c r="B5" s="8"/>
      <c r="C5" s="9"/>
      <c r="D5" s="10"/>
      <c r="E5" s="10"/>
      <c r="F5" s="11"/>
      <c r="G5" s="21" t="s">
        <v>5</v>
      </c>
      <c r="H5" s="16"/>
      <c r="I5" s="20" t="n">
        <f aca="false">Entry!B5</f>
        <v>0</v>
      </c>
      <c r="J5" s="14"/>
      <c r="K5" s="15"/>
      <c r="L5" s="16"/>
    </row>
    <row r="6" customFormat="false" ht="13.5" hidden="false" customHeight="true" outlineLevel="0" collapsed="false">
      <c r="A6" s="17"/>
      <c r="B6" s="8"/>
      <c r="C6" s="9"/>
      <c r="D6" s="10"/>
      <c r="E6" s="10"/>
      <c r="F6" s="11"/>
      <c r="G6" s="19" t="s">
        <v>6</v>
      </c>
      <c r="H6" s="16"/>
      <c r="I6" s="20" t="n">
        <f aca="false">Entry!B6</f>
        <v>0</v>
      </c>
      <c r="J6" s="14"/>
      <c r="K6" s="15"/>
      <c r="L6" s="16"/>
    </row>
    <row r="7" customFormat="false" ht="13.5" hidden="false" customHeight="true" outlineLevel="0" collapsed="false">
      <c r="A7" s="17"/>
      <c r="B7" s="8"/>
      <c r="C7" s="9"/>
      <c r="D7" s="10"/>
      <c r="E7" s="10"/>
      <c r="F7" s="11"/>
      <c r="G7" s="19" t="s">
        <v>7</v>
      </c>
      <c r="H7" s="16"/>
      <c r="I7" s="20" t="n">
        <f aca="false">Entry!B7</f>
        <v>0</v>
      </c>
      <c r="J7" s="14"/>
      <c r="K7" s="15"/>
      <c r="L7" s="16"/>
    </row>
    <row r="8" customFormat="false" ht="13.5" hidden="false" customHeight="true" outlineLevel="0" collapsed="false">
      <c r="A8" s="17"/>
      <c r="B8" s="8"/>
      <c r="C8" s="9"/>
      <c r="D8" s="10"/>
      <c r="E8" s="10"/>
      <c r="F8" s="11"/>
      <c r="G8" s="19" t="s">
        <v>8</v>
      </c>
      <c r="H8" s="16"/>
      <c r="I8" s="23" t="n">
        <f aca="false">Entry!B8</f>
        <v>0</v>
      </c>
      <c r="J8" s="14"/>
      <c r="K8" s="15"/>
      <c r="L8" s="16"/>
    </row>
    <row r="9" customFormat="false" ht="13.5" hidden="false" customHeight="true" outlineLevel="0" collapsed="false">
      <c r="A9" s="17"/>
      <c r="B9" s="8"/>
      <c r="C9" s="9"/>
      <c r="D9" s="10"/>
      <c r="E9" s="10"/>
      <c r="F9" s="11"/>
      <c r="G9" s="19" t="s">
        <v>9</v>
      </c>
      <c r="H9" s="16"/>
      <c r="I9" s="13"/>
      <c r="J9" s="14"/>
      <c r="K9" s="15"/>
      <c r="L9" s="16"/>
    </row>
    <row r="10" customFormat="false" ht="13.5" hidden="false" customHeight="true" outlineLevel="0" collapsed="false">
      <c r="A10" s="7" t="s">
        <v>10</v>
      </c>
      <c r="B10" s="8"/>
      <c r="C10" s="9"/>
      <c r="D10" s="10"/>
      <c r="E10" s="10"/>
      <c r="F10" s="11"/>
      <c r="G10" s="11"/>
      <c r="H10" s="16"/>
      <c r="I10" s="24"/>
      <c r="J10" s="14"/>
      <c r="K10" s="15"/>
      <c r="L10" s="16"/>
    </row>
    <row r="11" customFormat="false" ht="13.5" hidden="false" customHeight="true" outlineLevel="0" collapsed="false">
      <c r="A11" s="17"/>
      <c r="B11" s="13" t="s">
        <v>11</v>
      </c>
      <c r="C11" s="9"/>
      <c r="D11" s="10"/>
      <c r="E11" s="10"/>
      <c r="F11" s="11"/>
      <c r="G11" s="11"/>
      <c r="H11" s="16"/>
      <c r="I11" s="16"/>
      <c r="J11" s="14"/>
      <c r="K11" s="15"/>
      <c r="L11" s="16"/>
    </row>
    <row r="12" customFormat="false" ht="12.75" hidden="false" customHeight="false" outlineLevel="0" collapsed="false">
      <c r="A12" s="17"/>
      <c r="B12" s="8"/>
      <c r="C12" s="9"/>
      <c r="D12" s="10"/>
      <c r="E12" s="10"/>
      <c r="F12" s="25"/>
      <c r="G12" s="25"/>
      <c r="H12" s="15"/>
      <c r="I12" s="15"/>
      <c r="J12" s="15"/>
      <c r="K12" s="15"/>
      <c r="L12" s="16"/>
    </row>
    <row r="13" customFormat="false" ht="16.5" hidden="false" customHeight="true" outlineLevel="0" collapsed="false">
      <c r="B13" s="26" t="s">
        <v>12</v>
      </c>
      <c r="C13" s="26"/>
      <c r="D13" s="26"/>
      <c r="E13" s="26"/>
      <c r="F13" s="26"/>
      <c r="G13" s="26"/>
      <c r="H13" s="26"/>
      <c r="I13" s="26"/>
      <c r="J13" s="26"/>
      <c r="K13" s="15"/>
      <c r="L13" s="16"/>
    </row>
    <row r="14" customFormat="false" ht="16.5" hidden="false" customHeight="true" outlineLevel="0" collapsed="false">
      <c r="A14" s="16"/>
      <c r="B14" s="27" t="str">
        <f aca="false">"Delivery required " &amp; TRIM(Entry!B5)</f>
        <v>Delivery required </v>
      </c>
      <c r="C14" s="27"/>
      <c r="D14" s="27"/>
      <c r="E14" s="27"/>
      <c r="F14" s="28" t="n">
        <f aca="false">Entry!B4</f>
        <v>0</v>
      </c>
      <c r="G14" s="28"/>
      <c r="H14" s="28"/>
      <c r="I14" s="28"/>
      <c r="J14" s="28"/>
      <c r="K14" s="10"/>
      <c r="L14" s="10"/>
    </row>
    <row r="15" s="38" customFormat="true" ht="27" hidden="false" customHeight="true" outlineLevel="0" collapsed="false">
      <c r="A15" s="29" t="s">
        <v>13</v>
      </c>
      <c r="B15" s="30" t="s">
        <v>14</v>
      </c>
      <c r="C15" s="31" t="s">
        <v>15</v>
      </c>
      <c r="D15" s="32" t="s">
        <v>16</v>
      </c>
      <c r="E15" s="33" t="s">
        <v>17</v>
      </c>
      <c r="F15" s="33" t="s">
        <v>18</v>
      </c>
      <c r="G15" s="33" t="s">
        <v>19</v>
      </c>
      <c r="H15" s="34" t="s">
        <v>20</v>
      </c>
      <c r="I15" s="35" t="s">
        <v>21</v>
      </c>
      <c r="J15" s="36" t="s">
        <v>22</v>
      </c>
      <c r="K15" s="37"/>
      <c r="L15" s="37"/>
    </row>
    <row r="16" customFormat="false" ht="13.5" hidden="false" customHeight="true" outlineLevel="0" collapsed="false">
      <c r="A16" s="29"/>
      <c r="B16" s="30"/>
      <c r="C16" s="31"/>
      <c r="D16" s="32"/>
      <c r="E16" s="33"/>
      <c r="F16" s="33"/>
      <c r="G16" s="33"/>
      <c r="H16" s="34"/>
      <c r="I16" s="35"/>
      <c r="J16" s="36"/>
      <c r="K16" s="11"/>
      <c r="L16" s="11"/>
    </row>
    <row r="17" customFormat="false" ht="13.5" hidden="false" customHeight="true" outlineLevel="0" collapsed="false">
      <c r="A17" s="29"/>
      <c r="B17" s="30"/>
      <c r="C17" s="31"/>
      <c r="D17" s="32"/>
      <c r="E17" s="33"/>
      <c r="F17" s="33"/>
      <c r="G17" s="33"/>
      <c r="H17" s="34"/>
      <c r="I17" s="35"/>
      <c r="J17" s="36"/>
      <c r="K17" s="11"/>
      <c r="L17" s="11"/>
    </row>
    <row r="18" customFormat="false" ht="13.5" hidden="false" customHeight="true" outlineLevel="0" collapsed="false">
      <c r="A18" s="29"/>
      <c r="B18" s="30"/>
      <c r="C18" s="31"/>
      <c r="D18" s="32"/>
      <c r="E18" s="33"/>
      <c r="F18" s="33"/>
      <c r="G18" s="33"/>
      <c r="H18" s="34"/>
      <c r="I18" s="35"/>
      <c r="J18" s="36"/>
      <c r="K18" s="11"/>
      <c r="L18" s="11"/>
    </row>
    <row r="19" customFormat="false" ht="13.5" hidden="false" customHeight="true" outlineLevel="0" collapsed="false">
      <c r="A19" s="29"/>
      <c r="B19" s="30"/>
      <c r="C19" s="31"/>
      <c r="D19" s="32"/>
      <c r="E19" s="33"/>
      <c r="F19" s="33"/>
      <c r="G19" s="33"/>
      <c r="H19" s="34"/>
      <c r="I19" s="35"/>
      <c r="J19" s="36"/>
      <c r="K19" s="11"/>
      <c r="L19" s="11"/>
    </row>
    <row r="20" customFormat="false" ht="13.5" hidden="false" customHeight="true" outlineLevel="0" collapsed="false">
      <c r="A20" s="29"/>
      <c r="B20" s="30"/>
      <c r="C20" s="31"/>
      <c r="D20" s="32"/>
      <c r="E20" s="33"/>
      <c r="F20" s="33"/>
      <c r="G20" s="33"/>
      <c r="H20" s="34"/>
      <c r="I20" s="35"/>
      <c r="J20" s="36"/>
      <c r="K20" s="11"/>
      <c r="L20" s="11"/>
    </row>
    <row r="21" customFormat="false" ht="13.5" hidden="false" customHeight="true" outlineLevel="0" collapsed="false">
      <c r="A21" s="29"/>
      <c r="B21" s="30"/>
      <c r="C21" s="31"/>
      <c r="D21" s="32"/>
      <c r="E21" s="33"/>
      <c r="F21" s="33"/>
      <c r="G21" s="33"/>
      <c r="H21" s="34"/>
      <c r="I21" s="35"/>
      <c r="J21" s="36"/>
      <c r="K21" s="11"/>
      <c r="L21" s="11"/>
    </row>
    <row r="22" customFormat="false" ht="12.75" hidden="false" customHeight="false" outlineLevel="0" collapsed="false">
      <c r="A22" s="11"/>
      <c r="B22" s="39"/>
      <c r="C22" s="40"/>
      <c r="D22" s="41"/>
      <c r="E22" s="42"/>
      <c r="F22" s="43" t="s">
        <v>23</v>
      </c>
      <c r="G22" s="43" t="s">
        <v>24</v>
      </c>
      <c r="H22" s="43" t="s">
        <v>25</v>
      </c>
      <c r="I22" s="42"/>
      <c r="J22" s="42"/>
      <c r="K22" s="11"/>
      <c r="L22" s="11"/>
    </row>
    <row r="23" customFormat="false" ht="12.75" hidden="false" customHeight="false" outlineLevel="0" collapsed="false">
      <c r="A23" s="11"/>
      <c r="B23" s="44" t="str">
        <f aca="false">IF(Entry!C9=TRUE(), "GST Excluded", "" )</f>
        <v/>
      </c>
      <c r="C23" s="40"/>
      <c r="D23" s="41"/>
      <c r="E23" s="42"/>
      <c r="F23" s="45" t="n">
        <f aca="false">SUM(ItemsTable[Sub Total])</f>
        <v>0</v>
      </c>
      <c r="G23" s="45" t="n">
        <f aca="false">SUM(ItemsTable[Gst])</f>
        <v>0</v>
      </c>
      <c r="H23" s="46" t="n">
        <f aca="false">SUM(ItemsTable[Total])</f>
        <v>0</v>
      </c>
      <c r="I23" s="47"/>
      <c r="J23" s="47"/>
      <c r="K23" s="11"/>
      <c r="L23" s="11"/>
    </row>
    <row r="24" customFormat="false" ht="12.75" hidden="false" customHeight="false" outlineLevel="0" collapsed="false">
      <c r="A24" s="48" t="s">
        <v>26</v>
      </c>
      <c r="B24" s="11"/>
      <c r="C24" s="49"/>
      <c r="D24" s="11"/>
      <c r="E24" s="11"/>
      <c r="F24" s="11"/>
      <c r="G24" s="11"/>
      <c r="H24" s="11" t="s">
        <v>27</v>
      </c>
      <c r="I24" s="11"/>
      <c r="J24" s="11"/>
      <c r="K24" s="11"/>
      <c r="L24" s="11"/>
    </row>
    <row r="25" customFormat="false" ht="12.75" hidden="false" customHeight="false" outlineLevel="0" collapsed="false">
      <c r="B25" s="48" t="s">
        <v>28</v>
      </c>
      <c r="C25" s="49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12.75" hidden="false" customHeight="false" outlineLevel="0" collapsed="false">
      <c r="B26" s="48" t="s">
        <v>29</v>
      </c>
      <c r="C26" s="49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12.75" hidden="false" customHeight="false" outlineLevel="0" collapsed="false">
      <c r="B27" s="48" t="s">
        <v>30</v>
      </c>
      <c r="C27" s="49"/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12.75" hidden="false" customHeight="false" outlineLevel="0" collapsed="false">
      <c r="B28" s="48" t="s">
        <v>31</v>
      </c>
      <c r="C28" s="49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12.75" hidden="false" customHeight="false" outlineLevel="0" collapsed="false">
      <c r="C29" s="49"/>
      <c r="D29" s="11"/>
      <c r="E29" s="11"/>
      <c r="F29" s="11"/>
      <c r="G29" s="11"/>
      <c r="H29" s="11"/>
      <c r="I29" s="50"/>
      <c r="J29" s="51"/>
      <c r="K29" s="11"/>
      <c r="L29" s="11"/>
    </row>
    <row r="30" customFormat="false" ht="12.75" hidden="false" customHeight="false" outlineLevel="0" collapsed="false">
      <c r="B30" s="11"/>
      <c r="C30" s="49"/>
      <c r="D30" s="11"/>
      <c r="E30" s="11"/>
      <c r="F30" s="11"/>
      <c r="G30" s="11"/>
      <c r="H30" s="11"/>
      <c r="I30" s="52"/>
      <c r="J30" s="53"/>
      <c r="K30" s="11"/>
      <c r="L30" s="11"/>
    </row>
    <row r="31" customFormat="false" ht="12.75" hidden="false" customHeight="false" outlineLevel="0" collapsed="false">
      <c r="A31" s="11"/>
      <c r="B31" s="11"/>
      <c r="C31" s="49"/>
      <c r="D31" s="11"/>
      <c r="E31" s="11"/>
      <c r="F31" s="11"/>
      <c r="G31" s="11"/>
      <c r="H31" s="11"/>
      <c r="I31" s="54" t="s">
        <v>32</v>
      </c>
      <c r="J31" s="54"/>
      <c r="K31" s="11"/>
      <c r="L31" s="11"/>
    </row>
    <row r="32" customFormat="false" ht="12.75" hidden="false" customHeight="false" outlineLevel="0" collapsed="false">
      <c r="A32" s="11"/>
      <c r="B32" s="11"/>
      <c r="C32" s="49"/>
      <c r="D32" s="11"/>
      <c r="E32" s="11"/>
      <c r="F32" s="11"/>
      <c r="G32" s="11"/>
      <c r="H32" s="11"/>
      <c r="I32" s="37"/>
      <c r="J32" s="37"/>
      <c r="K32" s="11"/>
      <c r="L32" s="11"/>
    </row>
    <row r="33" customFormat="false" ht="12.75" hidden="false" customHeight="false" outlineLevel="0" collapsed="false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11"/>
      <c r="L33" s="11"/>
    </row>
    <row r="34" customFormat="false" ht="12.75" hidden="false" customHeight="false" outlineLevel="0" collapsed="false">
      <c r="A34" s="11"/>
      <c r="B34" s="11"/>
      <c r="C34" s="49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2.75" hidden="false" customHeight="false" outlineLevel="0" collapsed="false">
      <c r="A35" s="11"/>
      <c r="B35" s="11"/>
      <c r="C35" s="49"/>
      <c r="D35" s="11"/>
      <c r="E35" s="11"/>
      <c r="F35" s="11"/>
      <c r="G35" s="11"/>
      <c r="H35" s="11"/>
      <c r="I35" s="11"/>
      <c r="J35" s="11"/>
      <c r="K35" s="11"/>
      <c r="L35" s="11"/>
    </row>
    <row r="36" customFormat="false" ht="12.75" hidden="false" customHeight="false" outlineLevel="0" collapsed="false">
      <c r="A36" s="11"/>
      <c r="B36" s="11"/>
      <c r="C36" s="49"/>
      <c r="D36" s="11"/>
      <c r="E36" s="11"/>
      <c r="F36" s="11"/>
      <c r="G36" s="11"/>
      <c r="H36" s="11"/>
      <c r="I36" s="11"/>
      <c r="J36" s="11"/>
      <c r="K36" s="11"/>
      <c r="L36" s="11"/>
    </row>
    <row r="37" customFormat="false" ht="12.75" hidden="false" customHeight="false" outlineLevel="0" collapsed="false">
      <c r="K37" s="11"/>
      <c r="L37" s="11"/>
    </row>
    <row r="38" customFormat="false" ht="12.75" hidden="false" customHeight="false" outlineLevel="0" collapsed="false">
      <c r="K38" s="11"/>
      <c r="L38" s="11"/>
    </row>
    <row r="39" customFormat="false" ht="12.75" hidden="false" customHeight="false" outlineLevel="0" collapsed="false">
      <c r="K39" s="11"/>
      <c r="L39" s="11"/>
    </row>
    <row r="40" customFormat="false" ht="12.75" hidden="false" customHeight="false" outlineLevel="0" collapsed="false">
      <c r="K40" s="11"/>
      <c r="L40" s="11"/>
    </row>
    <row r="41" customFormat="false" ht="12.75" hidden="false" customHeight="false" outlineLevel="0" collapsed="false">
      <c r="K41" s="11"/>
      <c r="L41" s="11"/>
    </row>
    <row r="42" customFormat="false" ht="12.75" hidden="false" customHeight="false" outlineLevel="0" collapsed="false">
      <c r="K42" s="11"/>
      <c r="L42" s="11"/>
    </row>
    <row r="43" customFormat="false" ht="12.75" hidden="false" customHeight="false" outlineLevel="0" collapsed="false">
      <c r="K43" s="11"/>
      <c r="L43" s="11"/>
    </row>
    <row r="44" customFormat="false" ht="12.75" hidden="false" customHeight="false" outlineLevel="0" collapsed="false">
      <c r="K44" s="11"/>
      <c r="L44" s="11"/>
    </row>
    <row r="45" customFormat="false" ht="12.75" hidden="false" customHeight="false" outlineLevel="0" collapsed="false">
      <c r="K45" s="11"/>
      <c r="L45" s="11"/>
    </row>
    <row r="46" customFormat="false" ht="12.75" hidden="false" customHeight="false" outlineLevel="0" collapsed="false">
      <c r="K46" s="11"/>
      <c r="L46" s="11"/>
    </row>
    <row r="47" customFormat="false" ht="12.75" hidden="false" customHeight="false" outlineLevel="0" collapsed="false">
      <c r="K47" s="11"/>
      <c r="L47" s="11"/>
    </row>
    <row r="48" customFormat="false" ht="12.75" hidden="false" customHeight="false" outlineLevel="0" collapsed="false">
      <c r="K48" s="11"/>
      <c r="L48" s="11"/>
    </row>
    <row r="49" customFormat="false" ht="12.75" hidden="false" customHeight="false" outlineLevel="0" collapsed="false">
      <c r="K49" s="11"/>
      <c r="L49" s="11"/>
    </row>
    <row r="50" customFormat="false" ht="12.75" hidden="false" customHeight="false" outlineLevel="0" collapsed="false">
      <c r="K50" s="11"/>
      <c r="L50" s="11"/>
    </row>
    <row r="51" customFormat="false" ht="12.75" hidden="false" customHeight="false" outlineLevel="0" collapsed="false">
      <c r="K51" s="11"/>
      <c r="L51" s="11"/>
    </row>
    <row r="52" customFormat="false" ht="12.75" hidden="false" customHeight="false" outlineLevel="0" collapsed="false">
      <c r="K52" s="11"/>
      <c r="L52" s="11"/>
    </row>
    <row r="53" customFormat="false" ht="12.75" hidden="false" customHeight="false" outlineLevel="0" collapsed="false">
      <c r="K53" s="11"/>
      <c r="L53" s="11"/>
    </row>
    <row r="54" customFormat="false" ht="12.75" hidden="false" customHeight="false" outlineLevel="0" collapsed="false">
      <c r="K54" s="11"/>
      <c r="L54" s="11"/>
    </row>
    <row r="55" customFormat="false" ht="12.75" hidden="false" customHeight="false" outlineLevel="0" collapsed="false">
      <c r="K55" s="11"/>
      <c r="L55" s="11"/>
    </row>
    <row r="56" customFormat="false" ht="12.75" hidden="false" customHeight="false" outlineLevel="0" collapsed="false">
      <c r="K56" s="11"/>
      <c r="L56" s="11"/>
    </row>
    <row r="57" customFormat="false" ht="12.75" hidden="false" customHeight="false" outlineLevel="0" collapsed="false">
      <c r="K57" s="11"/>
      <c r="L57" s="11"/>
    </row>
    <row r="58" customFormat="false" ht="12.75" hidden="false" customHeight="false" outlineLevel="0" collapsed="false">
      <c r="K58" s="11"/>
      <c r="L58" s="11"/>
    </row>
    <row r="59" customFormat="false" ht="12.75" hidden="false" customHeight="false" outlineLevel="0" collapsed="false">
      <c r="K59" s="11"/>
      <c r="L59" s="11"/>
    </row>
    <row r="60" customFormat="false" ht="12.75" hidden="false" customHeight="false" outlineLevel="0" collapsed="false">
      <c r="K60" s="11"/>
      <c r="L60" s="11"/>
    </row>
    <row r="61" customFormat="false" ht="12.75" hidden="false" customHeight="false" outlineLevel="0" collapsed="false">
      <c r="K61" s="11"/>
      <c r="L61" s="11"/>
    </row>
    <row r="62" customFormat="false" ht="12.75" hidden="false" customHeight="false" outlineLevel="0" collapsed="false">
      <c r="K62" s="11"/>
      <c r="L62" s="11"/>
    </row>
    <row r="63" customFormat="false" ht="12.75" hidden="false" customHeight="false" outlineLevel="0" collapsed="false">
      <c r="K63" s="11"/>
      <c r="L63" s="11"/>
    </row>
    <row r="64" customFormat="false" ht="12.75" hidden="false" customHeight="false" outlineLevel="0" collapsed="false">
      <c r="K64" s="11"/>
      <c r="L64" s="11"/>
    </row>
    <row r="65" customFormat="false" ht="12.75" hidden="false" customHeight="false" outlineLevel="0" collapsed="false">
      <c r="K65" s="11"/>
      <c r="L65" s="11"/>
    </row>
    <row r="66" customFormat="false" ht="12.75" hidden="false" customHeight="false" outlineLevel="0" collapsed="false">
      <c r="K66" s="11"/>
      <c r="L66" s="11"/>
    </row>
    <row r="67" customFormat="false" ht="12.75" hidden="false" customHeight="false" outlineLevel="0" collapsed="false">
      <c r="K67" s="11"/>
      <c r="L67" s="11"/>
    </row>
    <row r="68" customFormat="false" ht="12.75" hidden="false" customHeight="false" outlineLevel="0" collapsed="false">
      <c r="K68" s="11"/>
      <c r="L68" s="11"/>
    </row>
    <row r="69" customFormat="false" ht="12.75" hidden="false" customHeight="false" outlineLevel="0" collapsed="false">
      <c r="K69" s="11"/>
      <c r="L69" s="11"/>
    </row>
    <row r="70" customFormat="false" ht="12.75" hidden="false" customHeight="false" outlineLevel="0" collapsed="false">
      <c r="K70" s="11"/>
      <c r="L70" s="11"/>
    </row>
    <row r="71" customFormat="false" ht="12.75" hidden="false" customHeight="false" outlineLevel="0" collapsed="false">
      <c r="K71" s="11"/>
      <c r="L71" s="11"/>
    </row>
    <row r="72" customFormat="false" ht="12.75" hidden="false" customHeight="false" outlineLevel="0" collapsed="false">
      <c r="K72" s="11"/>
      <c r="L72" s="11"/>
    </row>
    <row r="73" customFormat="false" ht="12.75" hidden="false" customHeight="false" outlineLevel="0" collapsed="false">
      <c r="K73" s="11"/>
      <c r="L73" s="11"/>
    </row>
    <row r="74" customFormat="false" ht="12.75" hidden="false" customHeight="false" outlineLevel="0" collapsed="false">
      <c r="K74" s="11"/>
      <c r="L74" s="11"/>
    </row>
    <row r="75" customFormat="false" ht="12.75" hidden="false" customHeight="false" outlineLevel="0" collapsed="false">
      <c r="K75" s="11"/>
      <c r="L75" s="11"/>
    </row>
    <row r="76" customFormat="false" ht="12.75" hidden="false" customHeight="false" outlineLevel="0" collapsed="false">
      <c r="K76" s="11"/>
      <c r="L76" s="11"/>
    </row>
    <row r="77" customFormat="false" ht="12.75" hidden="false" customHeight="false" outlineLevel="0" collapsed="false">
      <c r="K77" s="11"/>
      <c r="L77" s="11"/>
    </row>
    <row r="78" customFormat="false" ht="12.75" hidden="false" customHeight="false" outlineLevel="0" collapsed="false">
      <c r="K78" s="11"/>
      <c r="L78" s="11"/>
    </row>
    <row r="79" customFormat="false" ht="12.75" hidden="false" customHeight="false" outlineLevel="0" collapsed="false">
      <c r="K79" s="11"/>
      <c r="L79" s="11"/>
    </row>
    <row r="80" customFormat="false" ht="12.75" hidden="false" customHeight="false" outlineLevel="0" collapsed="false">
      <c r="K80" s="11"/>
      <c r="L80" s="11"/>
    </row>
    <row r="81" customFormat="false" ht="12.75" hidden="false" customHeight="false" outlineLevel="0" collapsed="false">
      <c r="K81" s="11"/>
      <c r="L81" s="11"/>
    </row>
    <row r="82" customFormat="false" ht="12.75" hidden="false" customHeight="false" outlineLevel="0" collapsed="false">
      <c r="K82" s="11"/>
      <c r="L82" s="11"/>
    </row>
    <row r="83" customFormat="false" ht="12.75" hidden="false" customHeight="false" outlineLevel="0" collapsed="false">
      <c r="K83" s="11"/>
      <c r="L83" s="11"/>
    </row>
    <row r="84" customFormat="false" ht="12.75" hidden="false" customHeight="false" outlineLevel="0" collapsed="false">
      <c r="K84" s="11"/>
      <c r="L84" s="11"/>
    </row>
    <row r="85" customFormat="false" ht="12.75" hidden="false" customHeight="false" outlineLevel="0" collapsed="false">
      <c r="K85" s="11"/>
      <c r="L85" s="11"/>
    </row>
    <row r="86" customFormat="false" ht="12.75" hidden="false" customHeight="false" outlineLevel="0" collapsed="false">
      <c r="K86" s="11"/>
      <c r="L86" s="11"/>
    </row>
    <row r="87" customFormat="false" ht="12.75" hidden="false" customHeight="false" outlineLevel="0" collapsed="false">
      <c r="K87" s="11"/>
      <c r="L87" s="11"/>
    </row>
    <row r="88" customFormat="false" ht="12.75" hidden="false" customHeight="false" outlineLevel="0" collapsed="false">
      <c r="K88" s="11"/>
      <c r="L88" s="11"/>
    </row>
    <row r="89" customFormat="false" ht="12.75" hidden="false" customHeight="false" outlineLevel="0" collapsed="false">
      <c r="K89" s="11"/>
      <c r="L89" s="11"/>
    </row>
    <row r="90" customFormat="false" ht="12.75" hidden="false" customHeight="false" outlineLevel="0" collapsed="false">
      <c r="K90" s="11"/>
      <c r="L90" s="11"/>
    </row>
    <row r="91" customFormat="false" ht="12.75" hidden="false" customHeight="false" outlineLevel="0" collapsed="false">
      <c r="K91" s="11"/>
      <c r="L91" s="11"/>
    </row>
    <row r="92" customFormat="false" ht="12.75" hidden="false" customHeight="false" outlineLevel="0" collapsed="false">
      <c r="K92" s="11"/>
      <c r="L92" s="11"/>
    </row>
    <row r="93" customFormat="false" ht="12.75" hidden="false" customHeight="false" outlineLevel="0" collapsed="false">
      <c r="K93" s="11"/>
      <c r="L93" s="11"/>
    </row>
    <row r="94" customFormat="false" ht="12.75" hidden="false" customHeight="false" outlineLevel="0" collapsed="false">
      <c r="K94" s="11"/>
      <c r="L94" s="11"/>
    </row>
    <row r="99" customFormat="false" ht="12.75" hidden="false" customHeight="false" outlineLevel="0" collapsed="false">
      <c r="K99" s="56"/>
      <c r="L99" s="57"/>
    </row>
    <row r="100" customFormat="false" ht="12.75" hidden="false" customHeight="false" outlineLevel="0" collapsed="false">
      <c r="K100" s="42"/>
      <c r="L100" s="58"/>
    </row>
    <row r="101" customFormat="false" ht="12.75" hidden="false" customHeight="false" outlineLevel="0" collapsed="false">
      <c r="K101" s="47"/>
      <c r="L101" s="58"/>
    </row>
    <row r="102" customFormat="false" ht="12.75" hidden="false" customHeight="false" outlineLevel="0" collapsed="false">
      <c r="K102" s="59"/>
    </row>
  </sheetData>
  <mergeCells count="8">
    <mergeCell ref="A1:B1"/>
    <mergeCell ref="H1:J1"/>
    <mergeCell ref="B3:B4"/>
    <mergeCell ref="B13:J13"/>
    <mergeCell ref="B14:E14"/>
    <mergeCell ref="F14:J14"/>
    <mergeCell ref="I31:J31"/>
    <mergeCell ref="A33:J33"/>
  </mergeCells>
  <printOptions headings="false" gridLines="false" gridLinesSet="true" horizontalCentered="true" verticalCentered="false"/>
  <pageMargins left="0.25" right="0.25" top="1.2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&amp;L_x005F_x000a_&amp;C&amp;"Arial Narrow,Regular" ANGAGA ISLAND RESORT SPA_x005F_x000a_M.New Plot, Ameenee Magu, Male', Maldives_x005F_x000a_Tel : 3313523 ,  Email : procurement@happymarket.com.mv</oddHeader>
    <oddFooter>&amp;LPage &amp;Pof &amp;N&amp;CM.New Plot, Ameenee Magu, Male', Maldives  Tel : 3313523 , Email : info@happymarket.com.mv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9.33203125" defaultRowHeight="12.75" zeroHeight="false" outlineLevelRow="0" outlineLevelCol="0"/>
  <cols>
    <col collapsed="false" customWidth="true" hidden="false" outlineLevel="0" max="1" min="1" style="60" width="34"/>
    <col collapsed="false" customWidth="true" hidden="false" outlineLevel="0" max="2" min="2" style="60" width="9.5"/>
    <col collapsed="false" customWidth="true" hidden="false" outlineLevel="0" max="3" min="3" style="60" width="10.33"/>
    <col collapsed="false" customWidth="true" hidden="false" outlineLevel="0" max="4" min="4" style="60" width="14"/>
    <col collapsed="false" customWidth="true" hidden="false" outlineLevel="0" max="5" min="5" style="60" width="12.83"/>
    <col collapsed="false" customWidth="true" hidden="false" outlineLevel="0" max="6" min="6" style="60" width="14.83"/>
    <col collapsed="false" customWidth="true" hidden="false" outlineLevel="0" max="7" min="7" style="60" width="13.83"/>
    <col collapsed="false" customWidth="true" hidden="false" outlineLevel="0" max="8" min="8" style="61" width="14.33"/>
    <col collapsed="false" customWidth="true" hidden="false" outlineLevel="0" max="9" min="9" style="61" width="9.83"/>
    <col collapsed="false" customWidth="true" hidden="false" outlineLevel="0" max="10" min="10" style="61" width="12"/>
    <col collapsed="false" customWidth="false" hidden="false" outlineLevel="0" max="16384" min="12" style="62" width="9.33"/>
  </cols>
  <sheetData>
    <row r="1" customFormat="false" ht="12.75" hidden="false" customHeight="false" outlineLevel="0" collapsed="false">
      <c r="A1" s="61" t="s">
        <v>33</v>
      </c>
    </row>
    <row r="2" customFormat="false" ht="12.75" hidden="false" customHeight="false" outlineLevel="0" collapsed="false">
      <c r="A2" s="61" t="s">
        <v>34</v>
      </c>
      <c r="B2" s="63"/>
    </row>
    <row r="3" customFormat="false" ht="12.75" hidden="false" customHeight="false" outlineLevel="0" collapsed="false">
      <c r="A3" s="62" t="s">
        <v>35</v>
      </c>
      <c r="B3" s="63"/>
    </row>
    <row r="4" customFormat="false" ht="12.75" hidden="false" customHeight="false" outlineLevel="0" collapsed="false">
      <c r="A4" s="61" t="s">
        <v>36</v>
      </c>
      <c r="B4" s="64"/>
      <c r="C4" s="64"/>
    </row>
    <row r="5" customFormat="false" ht="12.75" hidden="false" customHeight="false" outlineLevel="0" collapsed="false">
      <c r="A5" s="61" t="s">
        <v>37</v>
      </c>
      <c r="B5" s="63"/>
    </row>
    <row r="6" customFormat="false" ht="12.75" hidden="false" customHeight="false" outlineLevel="0" collapsed="false">
      <c r="A6" s="61" t="s">
        <v>38</v>
      </c>
      <c r="B6" s="63"/>
    </row>
    <row r="7" customFormat="false" ht="12.75" hidden="false" customHeight="false" outlineLevel="0" collapsed="false">
      <c r="A7" s="61" t="s">
        <v>39</v>
      </c>
      <c r="B7" s="63"/>
    </row>
    <row r="8" customFormat="false" ht="12.75" hidden="false" customHeight="false" outlineLevel="0" collapsed="false">
      <c r="A8" s="61" t="s">
        <v>40</v>
      </c>
      <c r="B8" s="65"/>
    </row>
    <row r="9" customFormat="false" ht="12.75" hidden="false" customHeight="false" outlineLevel="0" collapsed="false">
      <c r="A9" s="61" t="s">
        <v>41</v>
      </c>
      <c r="B9" s="66" t="b">
        <f aca="false">FALSE()</f>
        <v>0</v>
      </c>
      <c r="C9" s="67" t="b">
        <f aca="false">B9</f>
        <v>0</v>
      </c>
    </row>
    <row r="10" customFormat="false" ht="12.75" hidden="false" customHeight="false" outlineLevel="0" collapsed="false">
      <c r="A10" s="60" t="s">
        <v>42</v>
      </c>
      <c r="B10" s="60" t="n">
        <v>8</v>
      </c>
    </row>
    <row r="12" s="62" customFormat="true" ht="12.75" hidden="false" customHeight="false" outlineLevel="0" collapsed="false">
      <c r="A12" s="68" t="s">
        <v>43</v>
      </c>
      <c r="B12" s="68" t="s">
        <v>44</v>
      </c>
      <c r="C12" s="68" t="s">
        <v>45</v>
      </c>
      <c r="D12" s="68" t="s">
        <v>46</v>
      </c>
      <c r="E12" s="69" t="s">
        <v>21</v>
      </c>
      <c r="F12" s="68" t="s">
        <v>47</v>
      </c>
      <c r="G12" s="68" t="s">
        <v>48</v>
      </c>
      <c r="H12" s="70" t="s">
        <v>49</v>
      </c>
      <c r="I12" s="70" t="s">
        <v>24</v>
      </c>
      <c r="J12" s="70" t="s">
        <v>50</v>
      </c>
    </row>
    <row r="13" s="62" customFormat="true" ht="12.75" hidden="false" customHeight="false" outlineLevel="0" collapsed="false">
      <c r="A13" s="71"/>
      <c r="B13" s="72"/>
      <c r="C13" s="72"/>
      <c r="D13" s="73"/>
      <c r="E13" s="73"/>
      <c r="F13" s="65"/>
      <c r="G13" s="74"/>
      <c r="H13" s="75" t="n">
        <f aca="false">DataTable[[#This Row],[RATE]]*DataTable[[#This Row],[QTY]]</f>
        <v>0</v>
      </c>
      <c r="I13" s="76" t="n">
        <f aca="false">IF(OR(G13="Y",G13="y"),ROUND(H13*$B$10%,2),0)</f>
        <v>0</v>
      </c>
      <c r="J13" s="76" t="n">
        <f aca="false">DataTable[[#This Row],[SUB TOTAL]]+DataTable[[#This Row],[GST]]</f>
        <v>0</v>
      </c>
    </row>
    <row r="14" s="62" customFormat="true" ht="12.75" hidden="false" customHeight="false" outlineLevel="0" collapsed="false">
      <c r="A14" s="77"/>
      <c r="B14" s="72"/>
      <c r="C14" s="72"/>
      <c r="D14" s="73"/>
      <c r="E14" s="73"/>
      <c r="F14" s="65"/>
      <c r="G14" s="74"/>
      <c r="H14" s="75" t="n">
        <f aca="false">DataTable[[#This Row],[RATE]]*DataTable[[#This Row],[QTY]]</f>
        <v>0</v>
      </c>
      <c r="I14" s="76" t="n">
        <f aca="false">IF(OR(G14="Y",G14="y"),ROUND(H14*$B$10%,2),0)</f>
        <v>0</v>
      </c>
      <c r="J14" s="76" t="n">
        <f aca="false">DataTable[[#This Row],[SUB TOTAL]]+DataTable[[#This Row],[GST]]</f>
        <v>0</v>
      </c>
    </row>
    <row r="15" s="62" customFormat="true" ht="12.75" hidden="false" customHeight="false" outlineLevel="0" collapsed="false">
      <c r="A15" s="78"/>
      <c r="B15" s="72"/>
      <c r="C15" s="72"/>
      <c r="D15" s="73"/>
      <c r="E15" s="73"/>
      <c r="F15" s="65"/>
      <c r="G15" s="74"/>
      <c r="H15" s="75" t="n">
        <f aca="false">DataTable[[#This Row],[RATE]]*DataTable[[#This Row],[QTY]]</f>
        <v>0</v>
      </c>
      <c r="I15" s="76" t="n">
        <f aca="false">IF(OR(G15="Y",G15="y"),ROUND(H15*$B$10%,2),0)</f>
        <v>0</v>
      </c>
      <c r="J15" s="76" t="n">
        <f aca="false">DataTable[[#This Row],[SUB TOTAL]]+DataTable[[#This Row],[GST]]</f>
        <v>0</v>
      </c>
    </row>
    <row r="16" s="62" customFormat="true" ht="24" hidden="false" customHeight="true" outlineLevel="0" collapsed="false">
      <c r="A16" s="77"/>
      <c r="B16" s="72"/>
      <c r="C16" s="72"/>
      <c r="D16" s="73"/>
      <c r="E16" s="73"/>
      <c r="F16" s="65"/>
      <c r="G16" s="74"/>
      <c r="H16" s="75" t="n">
        <f aca="false">DataTable[[#This Row],[RATE]]*DataTable[[#This Row],[QTY]]</f>
        <v>0</v>
      </c>
      <c r="I16" s="76" t="n">
        <f aca="false">IF(OR(G16="Y",G16="y"),ROUND(H16*$B$10%,2),0)</f>
        <v>0</v>
      </c>
      <c r="J16" s="76" t="n">
        <f aca="false">DataTable[[#This Row],[SUB TOTAL]]+DataTable[[#This Row],[GST]]</f>
        <v>0</v>
      </c>
    </row>
    <row r="17" s="62" customFormat="true" ht="12.75" hidden="false" customHeight="false" outlineLevel="0" collapsed="false">
      <c r="A17" s="79"/>
      <c r="B17" s="72"/>
      <c r="C17" s="72"/>
      <c r="D17" s="73"/>
      <c r="E17" s="73"/>
      <c r="F17" s="65"/>
      <c r="G17" s="74"/>
      <c r="H17" s="75" t="n">
        <f aca="false">DataTable[[#This Row],[RATE]]*DataTable[[#This Row],[QTY]]</f>
        <v>0</v>
      </c>
      <c r="I17" s="76" t="n">
        <f aca="false">IF(OR(G17="Y",G17="y"),ROUND(H17*$B$10%,2),0)</f>
        <v>0</v>
      </c>
      <c r="J17" s="76" t="n">
        <f aca="false">DataTable[[#This Row],[SUB TOTAL]]+DataTable[[#This Row],[GST]]</f>
        <v>0</v>
      </c>
    </row>
    <row r="18" s="62" customFormat="true" ht="12.75" hidden="false" customHeight="false" outlineLevel="0" collapsed="false">
      <c r="A18" s="80"/>
      <c r="B18" s="72"/>
      <c r="C18" s="72"/>
      <c r="D18" s="81"/>
      <c r="E18" s="81"/>
      <c r="F18" s="65"/>
      <c r="G18" s="74"/>
      <c r="H18" s="75" t="n">
        <f aca="false">DataTable[[#This Row],[RATE]]*DataTable[[#This Row],[QTY]]</f>
        <v>0</v>
      </c>
      <c r="I18" s="76" t="n">
        <f aca="false">IF(OR(G18="Y",G18="y"),ROUND(H18*$B$10%,2),0)</f>
        <v>0</v>
      </c>
      <c r="J18" s="76" t="n">
        <f aca="false">DataTable[[#This Row],[SUB TOTAL]]+DataTable[[#This Row],[GST]]</f>
        <v>0</v>
      </c>
    </row>
    <row r="19" s="62" customFormat="true" ht="12.75" hidden="false" customHeight="false" outlineLevel="0" collapsed="false">
      <c r="A19" s="80"/>
      <c r="B19" s="72"/>
      <c r="C19" s="72"/>
      <c r="D19" s="82"/>
      <c r="E19" s="82"/>
      <c r="F19" s="65"/>
      <c r="G19" s="74"/>
      <c r="H19" s="75" t="n">
        <f aca="false">DataTable[[#This Row],[RATE]]*DataTable[[#This Row],[QTY]]</f>
        <v>0</v>
      </c>
      <c r="I19" s="76" t="n">
        <f aca="false">IF(OR(G19="Y",G19="y"),ROUND(H19*$B$10%,2),0)</f>
        <v>0</v>
      </c>
      <c r="J19" s="76" t="n">
        <f aca="false">DataTable[[#This Row],[SUB TOTAL]]+DataTable[[#This Row],[GST]]</f>
        <v>0</v>
      </c>
    </row>
    <row r="20" s="62" customFormat="true" ht="12.75" hidden="false" customHeight="false" outlineLevel="0" collapsed="false">
      <c r="A20" s="79"/>
      <c r="B20" s="72"/>
      <c r="C20" s="72"/>
      <c r="D20" s="82"/>
      <c r="E20" s="82"/>
      <c r="F20" s="65"/>
      <c r="G20" s="74"/>
      <c r="H20" s="75" t="n">
        <f aca="false">DataTable[[#This Row],[RATE]]*DataTable[[#This Row],[QTY]]</f>
        <v>0</v>
      </c>
      <c r="I20" s="76" t="n">
        <f aca="false">IF(OR(G20="Y",G20="y"),ROUND(H20*$B$10%,2),0)</f>
        <v>0</v>
      </c>
      <c r="J20" s="76" t="n">
        <f aca="false">DataTable[[#This Row],[SUB TOTAL]]+DataTable[[#This Row],[GST]]</f>
        <v>0</v>
      </c>
    </row>
    <row r="21" s="62" customFormat="true" ht="12.75" hidden="false" customHeight="false" outlineLevel="0" collapsed="false">
      <c r="A21" s="80"/>
      <c r="B21" s="72"/>
      <c r="C21" s="80"/>
      <c r="D21" s="82"/>
      <c r="E21" s="82"/>
      <c r="F21" s="65"/>
      <c r="G21" s="74"/>
      <c r="H21" s="75" t="n">
        <f aca="false">DataTable[[#This Row],[RATE]]*DataTable[[#This Row],[QTY]]</f>
        <v>0</v>
      </c>
      <c r="I21" s="76" t="n">
        <f aca="false">IF(OR(G21="Y",G21="y"),ROUND(H21*$B$10%,2),0)</f>
        <v>0</v>
      </c>
      <c r="J21" s="76" t="n">
        <f aca="false">DataTable[[#This Row],[SUB TOTAL]]+DataTable[[#This Row],[GST]]</f>
        <v>0</v>
      </c>
    </row>
    <row r="22" s="62" customFormat="true" ht="12.75" hidden="false" customHeight="false" outlineLevel="0" collapsed="false">
      <c r="A22" s="80"/>
      <c r="B22" s="72"/>
      <c r="C22" s="80"/>
      <c r="D22" s="82"/>
      <c r="E22" s="82"/>
      <c r="F22" s="65"/>
      <c r="G22" s="74"/>
      <c r="H22" s="75" t="n">
        <f aca="false">DataTable[[#This Row],[RATE]]*DataTable[[#This Row],[QTY]]</f>
        <v>0</v>
      </c>
      <c r="I22" s="76" t="n">
        <f aca="false">IF(OR(G22="Y",G22="y"),ROUND(H22*$B$10%,2),0)</f>
        <v>0</v>
      </c>
      <c r="J22" s="76" t="n">
        <f aca="false">DataTable[[#This Row],[SUB TOTAL]]+DataTable[[#This Row],[GST]]</f>
        <v>0</v>
      </c>
    </row>
    <row r="23" s="62" customFormat="true" ht="12.75" hidden="false" customHeight="false" outlineLevel="0" collapsed="false">
      <c r="A23" s="83"/>
      <c r="B23" s="72"/>
      <c r="C23" s="80"/>
      <c r="D23" s="82"/>
      <c r="E23" s="82"/>
      <c r="F23" s="65"/>
      <c r="G23" s="74"/>
      <c r="H23" s="75" t="n">
        <f aca="false">DataTable[[#This Row],[RATE]]*DataTable[[#This Row],[QTY]]</f>
        <v>0</v>
      </c>
      <c r="I23" s="76" t="n">
        <f aca="false">IF(OR(G23="Y",G23="y"),ROUND(H23*$B$10%,2),0)</f>
        <v>0</v>
      </c>
      <c r="J23" s="76" t="n">
        <f aca="false">DataTable[[#This Row],[SUB TOTAL]]+DataTable[[#This Row],[GST]]</f>
        <v>0</v>
      </c>
    </row>
    <row r="24" s="62" customFormat="true" ht="12.75" hidden="false" customHeight="false" outlineLevel="0" collapsed="false">
      <c r="A24" s="80"/>
      <c r="B24" s="80"/>
      <c r="C24" s="80"/>
      <c r="D24" s="82"/>
      <c r="E24" s="82"/>
      <c r="F24" s="65"/>
      <c r="G24" s="74"/>
      <c r="H24" s="75" t="n">
        <f aca="false">DataTable[[#This Row],[RATE]]*DataTable[[#This Row],[QTY]]</f>
        <v>0</v>
      </c>
      <c r="I24" s="76" t="n">
        <f aca="false">IF(OR(G24="Y",G24="y"),ROUND(H24*$B$10%,2),0)</f>
        <v>0</v>
      </c>
      <c r="J24" s="76" t="n">
        <f aca="false">DataTable[[#This Row],[SUB TOTAL]]+DataTable[[#This Row],[GST]]</f>
        <v>0</v>
      </c>
    </row>
    <row r="25" s="62" customFormat="true" ht="12.75" hidden="false" customHeight="false" outlineLevel="0" collapsed="false">
      <c r="A25" s="80"/>
      <c r="B25" s="80"/>
      <c r="C25" s="80"/>
      <c r="D25" s="82"/>
      <c r="E25" s="82"/>
      <c r="F25" s="65"/>
      <c r="G25" s="74"/>
      <c r="H25" s="75" t="n">
        <f aca="false">DataTable[[#This Row],[RATE]]*DataTable[[#This Row],[QTY]]</f>
        <v>0</v>
      </c>
      <c r="I25" s="76" t="n">
        <f aca="false">IF(OR(G25="Y",G25="y"),ROUND(H25*$B$10%,2),0)</f>
        <v>0</v>
      </c>
      <c r="J25" s="76" t="n">
        <f aca="false">DataTable[[#This Row],[SUB TOTAL]]+DataTable[[#This Row],[GST]]</f>
        <v>0</v>
      </c>
    </row>
    <row r="26" s="62" customFormat="true" ht="12.75" hidden="false" customHeight="false" outlineLevel="0" collapsed="false">
      <c r="A26" s="80"/>
      <c r="B26" s="80"/>
      <c r="C26" s="80"/>
      <c r="D26" s="82"/>
      <c r="E26" s="82"/>
      <c r="F26" s="65"/>
      <c r="G26" s="74"/>
      <c r="H26" s="75" t="n">
        <f aca="false">DataTable[[#This Row],[RATE]]*DataTable[[#This Row],[QTY]]</f>
        <v>0</v>
      </c>
      <c r="I26" s="76" t="n">
        <f aca="false">IF(OR(G26="Y",G26="y"),ROUND(H26*$B$10%,2),0)</f>
        <v>0</v>
      </c>
      <c r="J26" s="76" t="n">
        <f aca="false">DataTable[[#This Row],[SUB TOTAL]]+DataTable[[#This Row],[GST]]</f>
        <v>0</v>
      </c>
    </row>
    <row r="27" s="62" customFormat="true" ht="12.75" hidden="false" customHeight="false" outlineLevel="0" collapsed="false">
      <c r="A27" s="80"/>
      <c r="B27" s="80"/>
      <c r="C27" s="80"/>
      <c r="D27" s="82"/>
      <c r="E27" s="82"/>
      <c r="F27" s="65"/>
      <c r="G27" s="74"/>
      <c r="H27" s="75" t="n">
        <f aca="false">DataTable[[#This Row],[RATE]]*DataTable[[#This Row],[QTY]]</f>
        <v>0</v>
      </c>
      <c r="I27" s="76" t="n">
        <f aca="false">IF(OR(G27="Y",G27="y"),ROUND(H27*$B$10%,2),0)</f>
        <v>0</v>
      </c>
      <c r="J27" s="76" t="n">
        <f aca="false">DataTable[[#This Row],[SUB TOTAL]]+DataTable[[#This Row],[GST]]</f>
        <v>0</v>
      </c>
    </row>
    <row r="28" s="62" customFormat="true" ht="12.75" hidden="false" customHeight="false" outlineLevel="0" collapsed="false">
      <c r="A28" s="80"/>
      <c r="B28" s="80"/>
      <c r="C28" s="80"/>
      <c r="D28" s="82"/>
      <c r="E28" s="82"/>
      <c r="F28" s="65"/>
      <c r="G28" s="74"/>
      <c r="H28" s="75" t="n">
        <f aca="false">DataTable[[#This Row],[RATE]]*DataTable[[#This Row],[QTY]]</f>
        <v>0</v>
      </c>
      <c r="I28" s="76" t="n">
        <f aca="false">IF(OR(G28="Y",G28="y"),ROUND(H28*$B$10%,2),0)</f>
        <v>0</v>
      </c>
      <c r="J28" s="76" t="n">
        <f aca="false">DataTable[[#This Row],[SUB TOTAL]]+DataTable[[#This Row],[GST]]</f>
        <v>0</v>
      </c>
    </row>
    <row r="29" s="62" customFormat="true" ht="12.75" hidden="false" customHeight="false" outlineLevel="0" collapsed="false">
      <c r="A29" s="80"/>
      <c r="B29" s="80"/>
      <c r="C29" s="80"/>
      <c r="D29" s="82"/>
      <c r="E29" s="82"/>
      <c r="F29" s="65"/>
      <c r="G29" s="74"/>
      <c r="H29" s="75" t="n">
        <f aca="false">DataTable[[#This Row],[RATE]]*DataTable[[#This Row],[QTY]]</f>
        <v>0</v>
      </c>
      <c r="I29" s="76" t="n">
        <f aca="false">IF(OR(G29="Y",G29="y"),ROUND(H29*$B$10%,2),0)</f>
        <v>0</v>
      </c>
      <c r="J29" s="76" t="n">
        <f aca="false">DataTable[[#This Row],[SUB TOTAL]]+DataTable[[#This Row],[GST]]</f>
        <v>0</v>
      </c>
    </row>
    <row r="30" s="62" customFormat="true" ht="12.75" hidden="false" customHeight="false" outlineLevel="0" collapsed="false">
      <c r="A30" s="80"/>
      <c r="B30" s="80"/>
      <c r="C30" s="80"/>
      <c r="D30" s="82"/>
      <c r="E30" s="82"/>
      <c r="F30" s="65"/>
      <c r="G30" s="74"/>
      <c r="H30" s="75" t="n">
        <f aca="false">DataTable[[#This Row],[RATE]]*DataTable[[#This Row],[QTY]]</f>
        <v>0</v>
      </c>
      <c r="I30" s="76" t="n">
        <f aca="false">IF(OR(G30="Y",G30="y"),ROUND(H30*$B$10%,2),0)</f>
        <v>0</v>
      </c>
      <c r="J30" s="76" t="n">
        <f aca="false">DataTable[[#This Row],[SUB TOTAL]]+DataTable[[#This Row],[GST]]</f>
        <v>0</v>
      </c>
    </row>
    <row r="31" s="62" customFormat="true" ht="12.75" hidden="false" customHeight="false" outlineLevel="0" collapsed="false">
      <c r="A31" s="80"/>
      <c r="B31" s="80"/>
      <c r="C31" s="80"/>
      <c r="D31" s="82"/>
      <c r="E31" s="82"/>
      <c r="F31" s="65"/>
      <c r="G31" s="74"/>
      <c r="H31" s="75" t="n">
        <f aca="false">DataTable[[#This Row],[RATE]]*DataTable[[#This Row],[QTY]]</f>
        <v>0</v>
      </c>
      <c r="I31" s="76" t="n">
        <f aca="false">IF(OR(G31="Y",G31="y"),ROUND(H31*$B$10%,2),0)</f>
        <v>0</v>
      </c>
      <c r="J31" s="76" t="n">
        <f aca="false">DataTable[[#This Row],[SUB TOTAL]]+DataTable[[#This Row],[GST]]</f>
        <v>0</v>
      </c>
    </row>
    <row r="32" s="62" customFormat="true" ht="12.75" hidden="false" customHeight="false" outlineLevel="0" collapsed="false">
      <c r="A32" s="80"/>
      <c r="B32" s="80"/>
      <c r="C32" s="80"/>
      <c r="D32" s="82"/>
      <c r="E32" s="82"/>
      <c r="F32" s="65"/>
      <c r="G32" s="74"/>
      <c r="H32" s="75" t="n">
        <f aca="false">DataTable[[#This Row],[RATE]]*DataTable[[#This Row],[QTY]]</f>
        <v>0</v>
      </c>
      <c r="I32" s="76" t="n">
        <f aca="false">IF(OR(G32="Y",G32="y"),ROUND(H32*$B$10%,2),0)</f>
        <v>0</v>
      </c>
      <c r="J32" s="76" t="n">
        <f aca="false">DataTable[[#This Row],[SUB TOTAL]]+DataTable[[#This Row],[GST]]</f>
        <v>0</v>
      </c>
    </row>
    <row r="33" s="62" customFormat="true" ht="12.75" hidden="false" customHeight="false" outlineLevel="0" collapsed="false">
      <c r="A33" s="80"/>
      <c r="B33" s="80"/>
      <c r="C33" s="80"/>
      <c r="D33" s="82"/>
      <c r="E33" s="82"/>
      <c r="F33" s="65"/>
      <c r="G33" s="74"/>
      <c r="H33" s="75" t="n">
        <f aca="false">DataTable[[#This Row],[RATE]]*DataTable[[#This Row],[QTY]]</f>
        <v>0</v>
      </c>
      <c r="I33" s="76" t="n">
        <f aca="false">IF(OR(G33="Y",G33="y"),ROUND(H33*$B$10%,2),0)</f>
        <v>0</v>
      </c>
      <c r="J33" s="76" t="n">
        <f aca="false">DataTable[[#This Row],[SUB TOTAL]]+DataTable[[#This Row],[GST]]</f>
        <v>0</v>
      </c>
    </row>
    <row r="34" s="62" customFormat="true" ht="12.75" hidden="false" customHeight="false" outlineLevel="0" collapsed="false">
      <c r="A34" s="80"/>
      <c r="B34" s="80"/>
      <c r="C34" s="80"/>
      <c r="D34" s="82"/>
      <c r="E34" s="82"/>
      <c r="F34" s="65"/>
      <c r="G34" s="74"/>
      <c r="H34" s="75" t="n">
        <f aca="false">DataTable[[#This Row],[RATE]]*DataTable[[#This Row],[QTY]]</f>
        <v>0</v>
      </c>
      <c r="I34" s="76" t="n">
        <f aca="false">IF(OR(G34="Y",G34="y"),ROUND(H34*$B$10%,2),0)</f>
        <v>0</v>
      </c>
      <c r="J34" s="76" t="n">
        <f aca="false">DataTable[[#This Row],[SUB TOTAL]]+DataTable[[#This Row],[GST]]</f>
        <v>0</v>
      </c>
    </row>
    <row r="35" s="62" customFormat="true" ht="12.75" hidden="false" customHeight="false" outlineLevel="0" collapsed="false">
      <c r="A35" s="80"/>
      <c r="B35" s="80"/>
      <c r="C35" s="80"/>
      <c r="D35" s="82"/>
      <c r="E35" s="82"/>
      <c r="F35" s="65"/>
      <c r="G35" s="74"/>
      <c r="H35" s="75" t="n">
        <f aca="false">DataTable[[#This Row],[RATE]]*DataTable[[#This Row],[QTY]]</f>
        <v>0</v>
      </c>
      <c r="I35" s="76" t="n">
        <f aca="false">IF(OR(G35="Y",G35="y"),ROUND(H35*$B$10%,2),0)</f>
        <v>0</v>
      </c>
      <c r="J35" s="76" t="n">
        <f aca="false">DataTable[[#This Row],[SUB TOTAL]]+DataTable[[#This Row],[GST]]</f>
        <v>0</v>
      </c>
    </row>
    <row r="36" s="62" customFormat="true" ht="12.75" hidden="false" customHeight="false" outlineLevel="0" collapsed="false">
      <c r="A36" s="80"/>
      <c r="B36" s="80"/>
      <c r="C36" s="80"/>
      <c r="D36" s="82"/>
      <c r="E36" s="82"/>
      <c r="F36" s="65"/>
      <c r="G36" s="74"/>
      <c r="H36" s="75" t="n">
        <f aca="false">DataTable[[#This Row],[RATE]]*DataTable[[#This Row],[QTY]]</f>
        <v>0</v>
      </c>
      <c r="I36" s="76" t="n">
        <f aca="false">IF(OR(G36="Y",G36="y"),ROUND(H36*$B$10%,2),0)</f>
        <v>0</v>
      </c>
      <c r="J36" s="76" t="n">
        <f aca="false">DataTable[[#This Row],[SUB TOTAL]]+DataTable[[#This Row],[GST]]</f>
        <v>0</v>
      </c>
    </row>
    <row r="37" s="62" customFormat="true" ht="12.75" hidden="false" customHeight="false" outlineLevel="0" collapsed="false">
      <c r="A37" s="80"/>
      <c r="B37" s="80"/>
      <c r="C37" s="80"/>
      <c r="D37" s="82"/>
      <c r="E37" s="82"/>
      <c r="F37" s="65"/>
      <c r="G37" s="74"/>
      <c r="H37" s="75" t="n">
        <f aca="false">DataTable[[#This Row],[RATE]]*DataTable[[#This Row],[QTY]]</f>
        <v>0</v>
      </c>
      <c r="I37" s="76" t="n">
        <f aca="false">IF(OR(G37="Y",G37="y"),ROUND(H37*$B$10%,2),0)</f>
        <v>0</v>
      </c>
      <c r="J37" s="76" t="n">
        <f aca="false">DataTable[[#This Row],[SUB TOTAL]]+DataTable[[#This Row],[GST]]</f>
        <v>0</v>
      </c>
    </row>
    <row r="38" s="62" customFormat="true" ht="12.75" hidden="false" customHeight="false" outlineLevel="0" collapsed="false">
      <c r="A38" s="80"/>
      <c r="B38" s="80"/>
      <c r="C38" s="80"/>
      <c r="D38" s="82"/>
      <c r="E38" s="82"/>
      <c r="F38" s="65"/>
      <c r="G38" s="74"/>
      <c r="H38" s="75" t="n">
        <f aca="false">DataTable[[#This Row],[RATE]]*DataTable[[#This Row],[QTY]]</f>
        <v>0</v>
      </c>
      <c r="I38" s="76" t="n">
        <f aca="false">IF(OR(G38="Y",G38="y"),ROUND(H38*$B$10%,2),0)</f>
        <v>0</v>
      </c>
      <c r="J38" s="76" t="n">
        <f aca="false">DataTable[[#This Row],[SUB TOTAL]]+DataTable[[#This Row],[GST]]</f>
        <v>0</v>
      </c>
    </row>
    <row r="39" s="62" customFormat="true" ht="12.75" hidden="false" customHeight="false" outlineLevel="0" collapsed="false">
      <c r="A39" s="80"/>
      <c r="B39" s="80"/>
      <c r="C39" s="80"/>
      <c r="D39" s="82"/>
      <c r="E39" s="82"/>
      <c r="F39" s="65"/>
      <c r="G39" s="74"/>
      <c r="H39" s="75" t="n">
        <f aca="false">DataTable[[#This Row],[RATE]]*DataTable[[#This Row],[QTY]]</f>
        <v>0</v>
      </c>
      <c r="I39" s="76" t="n">
        <f aca="false">IF(OR(G39="Y",G39="y"),ROUND(H39*$B$10%,2),0)</f>
        <v>0</v>
      </c>
      <c r="J39" s="76" t="n">
        <f aca="false">DataTable[[#This Row],[SUB TOTAL]]+DataTable[[#This Row],[GST]]</f>
        <v>0</v>
      </c>
    </row>
    <row r="40" s="62" customFormat="true" ht="12.75" hidden="false" customHeight="false" outlineLevel="0" collapsed="false">
      <c r="A40" s="80"/>
      <c r="B40" s="80"/>
      <c r="C40" s="80"/>
      <c r="D40" s="82"/>
      <c r="E40" s="82"/>
      <c r="F40" s="65"/>
      <c r="G40" s="74"/>
      <c r="H40" s="75" t="n">
        <f aca="false">DataTable[[#This Row],[RATE]]*DataTable[[#This Row],[QTY]]</f>
        <v>0</v>
      </c>
      <c r="I40" s="76" t="n">
        <f aca="false">IF(OR(G40="Y",G40="y"),ROUND(H40*$B$10%,2),0)</f>
        <v>0</v>
      </c>
      <c r="J40" s="76" t="n">
        <f aca="false">DataTable[[#This Row],[SUB TOTAL]]+DataTable[[#This Row],[GST]]</f>
        <v>0</v>
      </c>
    </row>
    <row r="41" s="62" customFormat="true" ht="12.75" hidden="false" customHeight="false" outlineLevel="0" collapsed="false">
      <c r="A41" s="80"/>
      <c r="B41" s="80"/>
      <c r="C41" s="80"/>
      <c r="D41" s="82"/>
      <c r="E41" s="82"/>
      <c r="F41" s="65"/>
      <c r="G41" s="74"/>
      <c r="H41" s="75" t="n">
        <f aca="false">DataTable[[#This Row],[RATE]]*DataTable[[#This Row],[QTY]]</f>
        <v>0</v>
      </c>
      <c r="I41" s="76" t="n">
        <f aca="false">IF(OR(G41="Y",G41="y"),ROUND(H41*$B$10%,2),0)</f>
        <v>0</v>
      </c>
      <c r="J41" s="76" t="n">
        <f aca="false">DataTable[[#This Row],[SUB TOTAL]]+DataTable[[#This Row],[GST]]</f>
        <v>0</v>
      </c>
    </row>
    <row r="42" s="62" customFormat="true" ht="12.75" hidden="false" customHeight="false" outlineLevel="0" collapsed="false">
      <c r="A42" s="80"/>
      <c r="B42" s="80"/>
      <c r="C42" s="80"/>
      <c r="D42" s="82"/>
      <c r="E42" s="82"/>
      <c r="F42" s="65"/>
      <c r="G42" s="74"/>
      <c r="H42" s="75" t="n">
        <f aca="false">DataTable[[#This Row],[RATE]]*DataTable[[#This Row],[QTY]]</f>
        <v>0</v>
      </c>
      <c r="I42" s="76" t="n">
        <f aca="false">IF(OR(G42="Y",G42="y"),ROUND(H42*$B$10%,2),0)</f>
        <v>0</v>
      </c>
      <c r="J42" s="76" t="n">
        <f aca="false">DataTable[[#This Row],[SUB TOTAL]]+DataTable[[#This Row],[GST]]</f>
        <v>0</v>
      </c>
    </row>
    <row r="43" customFormat="false" ht="12.75" hidden="false" customHeight="false" outlineLevel="0" collapsed="false">
      <c r="A43" s="80"/>
      <c r="B43" s="80"/>
      <c r="C43" s="80"/>
      <c r="D43" s="82"/>
      <c r="E43" s="82"/>
      <c r="F43" s="65"/>
      <c r="G43" s="74"/>
      <c r="H43" s="75" t="n">
        <f aca="false">DataTable[[#This Row],[RATE]]*DataTable[[#This Row],[QTY]]</f>
        <v>0</v>
      </c>
      <c r="I43" s="76" t="n">
        <f aca="false">IF(OR(G43="Y",G43="y"),ROUND(H43*$B$10%,2),0)</f>
        <v>0</v>
      </c>
      <c r="J43" s="76" t="n">
        <f aca="false">DataTable[[#This Row],[SUB TOTAL]]+DataTable[[#This Row],[GST]]</f>
        <v>0</v>
      </c>
    </row>
    <row r="44" customFormat="false" ht="12.75" hidden="false" customHeight="false" outlineLevel="0" collapsed="false">
      <c r="A44" s="80"/>
      <c r="B44" s="80"/>
      <c r="C44" s="80"/>
      <c r="D44" s="82"/>
      <c r="E44" s="82"/>
      <c r="F44" s="65"/>
      <c r="G44" s="74"/>
      <c r="H44" s="75" t="n">
        <f aca="false">DataTable[[#This Row],[RATE]]*DataTable[[#This Row],[QTY]]</f>
        <v>0</v>
      </c>
      <c r="I44" s="76" t="n">
        <f aca="false">IF(OR(G44="Y",G44="y"),ROUND(H44*$B$10%,2),0)</f>
        <v>0</v>
      </c>
      <c r="J44" s="76" t="n">
        <f aca="false">DataTable[[#This Row],[SUB TOTAL]]+DataTable[[#This Row],[GST]]</f>
        <v>0</v>
      </c>
    </row>
    <row r="45" customFormat="false" ht="12.75" hidden="false" customHeight="false" outlineLevel="0" collapsed="false">
      <c r="A45" s="80"/>
      <c r="B45" s="80"/>
      <c r="C45" s="80"/>
      <c r="D45" s="82"/>
      <c r="E45" s="82"/>
      <c r="F45" s="63"/>
      <c r="G45" s="84"/>
      <c r="H45" s="75" t="n">
        <f aca="false">DataTable[[#This Row],[RATE]]*DataTable[[#This Row],[QTY]]</f>
        <v>0</v>
      </c>
      <c r="I45" s="76" t="n">
        <f aca="false">IF(OR(G45="Y",G45="y"),ROUND(H45*$B$10%,2),0)</f>
        <v>0</v>
      </c>
      <c r="J45" s="76" t="n">
        <f aca="false">DataTable[[#This Row],[SUB TOTAL]]+DataTable[[#This Row],[GST]]</f>
        <v>0</v>
      </c>
    </row>
    <row r="46" customFormat="false" ht="12.75" hidden="false" customHeight="false" outlineLevel="0" collapsed="false">
      <c r="A46" s="80"/>
      <c r="B46" s="80"/>
      <c r="C46" s="80"/>
      <c r="D46" s="82"/>
      <c r="E46" s="80"/>
      <c r="F46" s="63"/>
      <c r="G46" s="84"/>
      <c r="H46" s="75" t="n">
        <f aca="false">DataTable[[#This Row],[RATE]]*DataTable[[#This Row],[QTY]]</f>
        <v>0</v>
      </c>
      <c r="I46" s="76" t="n">
        <f aca="false">IF(OR(G46="Y",G46="y"),ROUND(H46*$B$10%,2),0)</f>
        <v>0</v>
      </c>
      <c r="J46" s="76" t="n">
        <f aca="false">DataTable[[#This Row],[SUB TOTAL]]+DataTable[[#This Row],[GST]]</f>
        <v>0</v>
      </c>
    </row>
    <row r="47" customFormat="false" ht="12.75" hidden="false" customHeight="false" outlineLevel="0" collapsed="false">
      <c r="A47" s="80"/>
      <c r="B47" s="80"/>
      <c r="C47" s="80"/>
      <c r="D47" s="82"/>
      <c r="E47" s="80"/>
      <c r="F47" s="63"/>
      <c r="G47" s="84"/>
      <c r="H47" s="75" t="n">
        <f aca="false">DataTable[[#This Row],[RATE]]*DataTable[[#This Row],[QTY]]</f>
        <v>0</v>
      </c>
      <c r="I47" s="76" t="n">
        <f aca="false">IF(OR(G47="Y",G47="y"),ROUND(H47*$B$10%,2),0)</f>
        <v>0</v>
      </c>
      <c r="J47" s="76" t="n">
        <f aca="false">DataTable[[#This Row],[SUB TOTAL]]+DataTable[[#This Row],[GST]]</f>
        <v>0</v>
      </c>
    </row>
    <row r="48" customFormat="false" ht="12.75" hidden="false" customHeight="false" outlineLevel="0" collapsed="false">
      <c r="A48" s="80"/>
      <c r="B48" s="80"/>
      <c r="C48" s="80"/>
      <c r="D48" s="82"/>
      <c r="E48" s="82"/>
      <c r="F48" s="63"/>
      <c r="G48" s="84"/>
      <c r="H48" s="75" t="n">
        <f aca="false">DataTable[[#This Row],[RATE]]*DataTable[[#This Row],[QTY]]</f>
        <v>0</v>
      </c>
      <c r="I48" s="76" t="n">
        <f aca="false">IF(OR(G48="Y",G48="y"),ROUND(H48*$B$10%,2),0)</f>
        <v>0</v>
      </c>
      <c r="J48" s="76" t="n">
        <f aca="false">DataTable[[#This Row],[SUB TOTAL]]+DataTable[[#This Row],[GST]]</f>
        <v>0</v>
      </c>
    </row>
    <row r="49" customFormat="false" ht="12.75" hidden="false" customHeight="false" outlineLevel="0" collapsed="false">
      <c r="A49" s="80"/>
      <c r="B49" s="80"/>
      <c r="C49" s="80"/>
      <c r="D49" s="82"/>
      <c r="E49" s="82"/>
      <c r="F49" s="63"/>
      <c r="G49" s="84"/>
      <c r="H49" s="75" t="n">
        <f aca="false">DataTable[[#This Row],[RATE]]*DataTable[[#This Row],[QTY]]</f>
        <v>0</v>
      </c>
      <c r="I49" s="76" t="n">
        <f aca="false">IF(OR(G49="Y",G49="y"),ROUND(H49*$B$10%,2),0)</f>
        <v>0</v>
      </c>
      <c r="J49" s="76" t="n">
        <f aca="false">DataTable[[#This Row],[SUB TOTAL]]+DataTable[[#This Row],[GST]]</f>
        <v>0</v>
      </c>
    </row>
    <row r="50" customFormat="false" ht="12.75" hidden="false" customHeight="false" outlineLevel="0" collapsed="false">
      <c r="A50" s="80"/>
      <c r="B50" s="80"/>
      <c r="C50" s="80"/>
      <c r="D50" s="82"/>
      <c r="E50" s="82"/>
      <c r="F50" s="63"/>
      <c r="G50" s="84"/>
      <c r="H50" s="75" t="n">
        <f aca="false">DataTable[[#This Row],[RATE]]*DataTable[[#This Row],[QTY]]</f>
        <v>0</v>
      </c>
      <c r="I50" s="76" t="n">
        <f aca="false">IF(OR(G50="Y",G50="y"),ROUND(H50*$B$10%,2),0)</f>
        <v>0</v>
      </c>
      <c r="J50" s="76" t="n">
        <f aca="false">DataTable[[#This Row],[SUB TOTAL]]+DataTable[[#This Row],[GST]]</f>
        <v>0</v>
      </c>
    </row>
    <row r="51" customFormat="false" ht="12.75" hidden="false" customHeight="false" outlineLevel="0" collapsed="false">
      <c r="A51" s="80"/>
      <c r="B51" s="80"/>
      <c r="C51" s="80"/>
      <c r="D51" s="82"/>
      <c r="E51" s="82"/>
      <c r="F51" s="63"/>
      <c r="G51" s="84"/>
      <c r="H51" s="75" t="n">
        <f aca="false">DataTable[[#This Row],[RATE]]*DataTable[[#This Row],[QTY]]</f>
        <v>0</v>
      </c>
      <c r="I51" s="76" t="n">
        <f aca="false">IF(OR(G51="Y",G51="y"),ROUND(H51*$B$10%,2),0)</f>
        <v>0</v>
      </c>
      <c r="J51" s="76" t="n">
        <f aca="false">DataTable[[#This Row],[SUB TOTAL]]+DataTable[[#This Row],[GST]]</f>
        <v>0</v>
      </c>
    </row>
    <row r="52" customFormat="false" ht="12.75" hidden="false" customHeight="false" outlineLevel="0" collapsed="false">
      <c r="A52" s="80"/>
      <c r="B52" s="80"/>
      <c r="C52" s="80"/>
      <c r="D52" s="82"/>
      <c r="E52" s="82"/>
      <c r="F52" s="63"/>
      <c r="G52" s="84"/>
      <c r="H52" s="75" t="n">
        <f aca="false">DataTable[[#This Row],[RATE]]*DataTable[[#This Row],[QTY]]</f>
        <v>0</v>
      </c>
      <c r="I52" s="76" t="n">
        <f aca="false">IF(OR(G52="Y",G52="y"),ROUND(H52*$B$10%,2),0)</f>
        <v>0</v>
      </c>
      <c r="J52" s="76" t="n">
        <f aca="false">DataTable[[#This Row],[SUB TOTAL]]+DataTable[[#This Row],[GST]]</f>
        <v>0</v>
      </c>
    </row>
    <row r="53" customFormat="false" ht="12.75" hidden="false" customHeight="false" outlineLevel="0" collapsed="false">
      <c r="A53" s="80"/>
      <c r="B53" s="80"/>
      <c r="C53" s="80"/>
      <c r="D53" s="82"/>
      <c r="E53" s="80"/>
      <c r="F53" s="63"/>
      <c r="G53" s="84"/>
      <c r="H53" s="75" t="n">
        <f aca="false">DataTable[[#This Row],[RATE]]*DataTable[[#This Row],[QTY]]</f>
        <v>0</v>
      </c>
      <c r="I53" s="76" t="n">
        <f aca="false">IF(OR(G53="Y",G53="y"),ROUND(H53*$B$10%,2),0)</f>
        <v>0</v>
      </c>
      <c r="J53" s="76" t="n">
        <f aca="false">DataTable[[#This Row],[SUB TOTAL]]+DataTable[[#This Row],[GST]]</f>
        <v>0</v>
      </c>
    </row>
    <row r="54" customFormat="false" ht="12.75" hidden="false" customHeight="false" outlineLevel="0" collapsed="false">
      <c r="A54" s="80"/>
      <c r="B54" s="80"/>
      <c r="C54" s="80"/>
      <c r="D54" s="82"/>
      <c r="E54" s="85"/>
      <c r="F54" s="63"/>
      <c r="G54" s="84"/>
      <c r="H54" s="75" t="n">
        <f aca="false">DataTable[[#This Row],[RATE]]*DataTable[[#This Row],[QTY]]</f>
        <v>0</v>
      </c>
      <c r="I54" s="76" t="n">
        <f aca="false">IF(OR(G54="Y",G54="y"),ROUND(H54*$B$10%,2),0)</f>
        <v>0</v>
      </c>
      <c r="J54" s="76" t="n">
        <f aca="false">DataTable[[#This Row],[SUB TOTAL]]+DataTable[[#This Row],[GST]]</f>
        <v>0</v>
      </c>
    </row>
    <row r="55" customFormat="false" ht="12.75" hidden="false" customHeight="false" outlineLevel="0" collapsed="false">
      <c r="A55" s="80"/>
      <c r="B55" s="80"/>
      <c r="C55" s="80"/>
      <c r="D55" s="82"/>
      <c r="E55" s="85"/>
      <c r="F55" s="63"/>
      <c r="G55" s="84"/>
      <c r="H55" s="75" t="n">
        <f aca="false">DataTable[[#This Row],[RATE]]*DataTable[[#This Row],[QTY]]</f>
        <v>0</v>
      </c>
      <c r="I55" s="76" t="n">
        <f aca="false">IF(OR(G55="Y",G55="y"),ROUND(H55*$B$10%,2),0)</f>
        <v>0</v>
      </c>
      <c r="J55" s="76" t="n">
        <f aca="false">DataTable[[#This Row],[SUB TOTAL]]+DataTable[[#This Row],[GST]]</f>
        <v>0</v>
      </c>
    </row>
    <row r="56" customFormat="false" ht="12.75" hidden="false" customHeight="false" outlineLevel="0" collapsed="false">
      <c r="A56" s="80"/>
      <c r="B56" s="80"/>
      <c r="C56" s="80"/>
      <c r="D56" s="82"/>
      <c r="E56" s="85"/>
      <c r="F56" s="63"/>
      <c r="G56" s="84"/>
      <c r="H56" s="75" t="n">
        <f aca="false">DataTable[[#This Row],[RATE]]*DataTable[[#This Row],[QTY]]</f>
        <v>0</v>
      </c>
      <c r="I56" s="76" t="n">
        <f aca="false">IF(OR(G56="Y",G56="y"),ROUND(H56*$B$10%,2),0)</f>
        <v>0</v>
      </c>
      <c r="J56" s="76" t="n">
        <f aca="false">DataTable[[#This Row],[SUB TOTAL]]+DataTable[[#This Row],[GST]]</f>
        <v>0</v>
      </c>
    </row>
    <row r="57" customFormat="false" ht="12.75" hidden="false" customHeight="false" outlineLevel="0" collapsed="false">
      <c r="A57" s="80"/>
      <c r="B57" s="80"/>
      <c r="C57" s="80"/>
      <c r="D57" s="82"/>
      <c r="E57" s="85"/>
      <c r="F57" s="63"/>
      <c r="G57" s="84"/>
      <c r="H57" s="75" t="n">
        <f aca="false">DataTable[[#This Row],[RATE]]*DataTable[[#This Row],[QTY]]</f>
        <v>0</v>
      </c>
      <c r="I57" s="76" t="n">
        <f aca="false">IF(OR(G57="Y",G57="y"),ROUND(H57*$B$10%,2),0)</f>
        <v>0</v>
      </c>
      <c r="J57" s="76" t="n">
        <f aca="false">DataTable[[#This Row],[SUB TOTAL]]+DataTable[[#This Row],[GST]]</f>
        <v>0</v>
      </c>
    </row>
    <row r="58" customFormat="false" ht="12.75" hidden="false" customHeight="false" outlineLevel="0" collapsed="false">
      <c r="A58" s="80"/>
      <c r="B58" s="80"/>
      <c r="C58" s="80"/>
      <c r="D58" s="82"/>
      <c r="E58" s="85"/>
      <c r="F58" s="86"/>
      <c r="G58" s="87"/>
      <c r="H58" s="75" t="n">
        <f aca="false">DataTable[[#This Row],[RATE]]*DataTable[[#This Row],[QTY]]</f>
        <v>0</v>
      </c>
      <c r="I58" s="76" t="n">
        <f aca="false">IF(OR(G58="Y",G58="y"),ROUND(H58*$B$10%,2),0)</f>
        <v>0</v>
      </c>
      <c r="J58" s="76" t="n">
        <f aca="false">DataTable[[#This Row],[SUB TOTAL]]+DataTable[[#This Row],[GST]]</f>
        <v>0</v>
      </c>
    </row>
    <row r="59" customFormat="false" ht="12.75" hidden="false" customHeight="false" outlineLevel="0" collapsed="false">
      <c r="A59" s="80"/>
      <c r="B59" s="80"/>
      <c r="C59" s="80"/>
      <c r="D59" s="82"/>
      <c r="E59" s="85"/>
      <c r="F59" s="86"/>
      <c r="G59" s="87"/>
      <c r="H59" s="75" t="n">
        <f aca="false">DataTable[[#This Row],[RATE]]*DataTable[[#This Row],[QTY]]</f>
        <v>0</v>
      </c>
      <c r="I59" s="76" t="n">
        <f aca="false">IF(OR(G59="Y",G59="y"),ROUND(H59*$B$10%,2),0)</f>
        <v>0</v>
      </c>
      <c r="J59" s="76" t="n">
        <f aca="false">DataTable[[#This Row],[SUB TOTAL]]+DataTable[[#This Row],[GST]]</f>
        <v>0</v>
      </c>
    </row>
    <row r="60" customFormat="false" ht="12.75" hidden="false" customHeight="false" outlineLevel="0" collapsed="false">
      <c r="A60" s="80"/>
      <c r="B60" s="80"/>
      <c r="C60" s="80"/>
      <c r="D60" s="82"/>
      <c r="E60" s="85"/>
      <c r="F60" s="86"/>
      <c r="G60" s="87"/>
      <c r="H60" s="75" t="n">
        <f aca="false">DataTable[[#This Row],[RATE]]*DataTable[[#This Row],[QTY]]</f>
        <v>0</v>
      </c>
      <c r="I60" s="76" t="n">
        <f aca="false">IF(OR(G60="Y",G60="y"),ROUND(H60*$B$10%,2),0)</f>
        <v>0</v>
      </c>
      <c r="J60" s="76" t="n">
        <f aca="false">DataTable[[#This Row],[SUB TOTAL]]+DataTable[[#This Row],[GST]]</f>
        <v>0</v>
      </c>
    </row>
    <row r="61" customFormat="false" ht="12.75" hidden="false" customHeight="false" outlineLevel="0" collapsed="false">
      <c r="A61" s="80"/>
      <c r="B61" s="80"/>
      <c r="C61" s="80"/>
      <c r="D61" s="82"/>
      <c r="E61" s="85"/>
      <c r="F61" s="86"/>
      <c r="G61" s="87"/>
      <c r="H61" s="75" t="n">
        <f aca="false">DataTable[[#This Row],[RATE]]*DataTable[[#This Row],[QTY]]</f>
        <v>0</v>
      </c>
      <c r="I61" s="76" t="n">
        <f aca="false">IF(OR(G61="Y",G61="y"),ROUND(H61*$B$10%,2),0)</f>
        <v>0</v>
      </c>
      <c r="J61" s="76" t="n">
        <f aca="false">DataTable[[#This Row],[SUB TOTAL]]+DataTable[[#This Row],[GST]]</f>
        <v>0</v>
      </c>
    </row>
    <row r="62" customFormat="false" ht="12.75" hidden="false" customHeight="false" outlineLevel="0" collapsed="false">
      <c r="A62" s="80"/>
      <c r="B62" s="80"/>
      <c r="C62" s="80"/>
      <c r="D62" s="82"/>
      <c r="E62" s="85"/>
      <c r="F62" s="86"/>
      <c r="G62" s="87"/>
      <c r="H62" s="75" t="n">
        <f aca="false">DataTable[[#This Row],[RATE]]*DataTable[[#This Row],[QTY]]</f>
        <v>0</v>
      </c>
      <c r="I62" s="76" t="n">
        <f aca="false">IF(OR(G62="Y",G62="y"),ROUND(H62*$B$10%,2),0)</f>
        <v>0</v>
      </c>
      <c r="J62" s="76" t="n">
        <f aca="false">DataTable[[#This Row],[SUB TOTAL]]+DataTable[[#This Row],[GST]]</f>
        <v>0</v>
      </c>
    </row>
    <row r="63" customFormat="false" ht="12.75" hidden="false" customHeight="false" outlineLevel="0" collapsed="false">
      <c r="A63" s="80"/>
      <c r="B63" s="80"/>
      <c r="C63" s="80"/>
      <c r="D63" s="82"/>
      <c r="E63" s="85"/>
      <c r="F63" s="86"/>
      <c r="G63" s="87"/>
      <c r="H63" s="75" t="n">
        <f aca="false">DataTable[[#This Row],[RATE]]*DataTable[[#This Row],[QTY]]</f>
        <v>0</v>
      </c>
      <c r="I63" s="76" t="n">
        <f aca="false">IF(OR(G63="Y",G63="y"),ROUND(H63*$B$10%,2),0)</f>
        <v>0</v>
      </c>
      <c r="J63" s="76" t="n">
        <f aca="false">DataTable[[#This Row],[SUB TOTAL]]+DataTable[[#This Row],[GST]]</f>
        <v>0</v>
      </c>
    </row>
    <row r="64" customFormat="false" ht="12.75" hidden="false" customHeight="false" outlineLevel="0" collapsed="false">
      <c r="A64" s="80"/>
      <c r="B64" s="80"/>
      <c r="C64" s="80"/>
      <c r="D64" s="82"/>
      <c r="E64" s="85"/>
      <c r="F64" s="86"/>
      <c r="G64" s="87"/>
      <c r="H64" s="75" t="n">
        <f aca="false">DataTable[[#This Row],[RATE]]*DataTable[[#This Row],[QTY]]</f>
        <v>0</v>
      </c>
      <c r="I64" s="76" t="n">
        <f aca="false">IF(OR(G64="Y",G64="y"),ROUND(H64*$B$10%,2),0)</f>
        <v>0</v>
      </c>
      <c r="J64" s="76" t="n">
        <f aca="false">DataTable[[#This Row],[SUB TOTAL]]+DataTable[[#This Row],[GST]]</f>
        <v>0</v>
      </c>
    </row>
    <row r="65" customFormat="false" ht="12.75" hidden="false" customHeight="false" outlineLevel="0" collapsed="false">
      <c r="A65" s="83"/>
      <c r="B65" s="83"/>
      <c r="C65" s="88"/>
      <c r="D65" s="88"/>
      <c r="E65" s="85"/>
      <c r="F65" s="86"/>
      <c r="G65" s="87"/>
      <c r="H65" s="75" t="n">
        <f aca="false">DataTable[[#This Row],[RATE]]*DataTable[[#This Row],[QTY]]</f>
        <v>0</v>
      </c>
      <c r="I65" s="76" t="n">
        <f aca="false">IF(OR(G65="Y",G65="y"),ROUND(H65*$B$10%,2),0)</f>
        <v>0</v>
      </c>
      <c r="J65" s="76" t="n">
        <f aca="false">DataTable[[#This Row],[SUB TOTAL]]+DataTable[[#This Row],[GST]]</f>
        <v>0</v>
      </c>
    </row>
    <row r="66" customFormat="false" ht="12.75" hidden="false" customHeight="false" outlineLevel="0" collapsed="false">
      <c r="A66" s="83"/>
      <c r="B66" s="83"/>
      <c r="C66" s="88"/>
      <c r="D66" s="88"/>
      <c r="E66" s="85"/>
      <c r="F66" s="86"/>
      <c r="G66" s="87"/>
      <c r="H66" s="75" t="n">
        <f aca="false">DataTable[[#This Row],[RATE]]*DataTable[[#This Row],[QTY]]</f>
        <v>0</v>
      </c>
      <c r="I66" s="76" t="n">
        <f aca="false">IF(OR(G66="Y",G66="y"),ROUND(H66*$B$10%,2),0)</f>
        <v>0</v>
      </c>
      <c r="J66" s="76" t="n">
        <f aca="false">DataTable[[#This Row],[SUB TOTAL]]+DataTable[[#This Row],[GST]]</f>
        <v>0</v>
      </c>
    </row>
    <row r="67" customFormat="false" ht="12.75" hidden="false" customHeight="false" outlineLevel="0" collapsed="false">
      <c r="A67" s="83"/>
      <c r="B67" s="83"/>
      <c r="C67" s="88"/>
      <c r="D67" s="88"/>
      <c r="E67" s="85"/>
      <c r="F67" s="86"/>
      <c r="G67" s="87"/>
      <c r="H67" s="75" t="n">
        <f aca="false">DataTable[[#This Row],[RATE]]*DataTable[[#This Row],[QTY]]</f>
        <v>0</v>
      </c>
      <c r="I67" s="76" t="n">
        <f aca="false">IF(OR(G67="Y",G67="y"),ROUND(H67*$B$10%,2),0)</f>
        <v>0</v>
      </c>
      <c r="J67" s="76" t="n">
        <f aca="false">DataTable[[#This Row],[SUB TOTAL]]+DataTable[[#This Row],[GST]]</f>
        <v>0</v>
      </c>
    </row>
    <row r="68" customFormat="false" ht="12.75" hidden="false" customHeight="false" outlineLevel="0" collapsed="false">
      <c r="A68" s="83"/>
      <c r="B68" s="83"/>
      <c r="C68" s="88"/>
      <c r="D68" s="88"/>
      <c r="E68" s="85"/>
      <c r="F68" s="80"/>
      <c r="G68" s="89"/>
      <c r="H68" s="75" t="n">
        <f aca="false">DataTable[[#This Row],[RATE]]*DataTable[[#This Row],[QTY]]</f>
        <v>0</v>
      </c>
      <c r="I68" s="76" t="n">
        <f aca="false">IF(OR(G68="Y",G68="y"),ROUND(H68*$B$10%,2),0)</f>
        <v>0</v>
      </c>
      <c r="J68" s="76" t="n">
        <f aca="false">DataTable[[#This Row],[SUB TOTAL]]+DataTable[[#This Row],[GST]]</f>
        <v>0</v>
      </c>
    </row>
    <row r="69" customFormat="false" ht="12.75" hidden="false" customHeight="false" outlineLevel="0" collapsed="false">
      <c r="A69" s="83"/>
      <c r="B69" s="83"/>
      <c r="C69" s="88"/>
      <c r="D69" s="88"/>
      <c r="E69" s="85"/>
      <c r="F69" s="80"/>
      <c r="G69" s="89"/>
      <c r="H69" s="75" t="n">
        <f aca="false">DataTable[[#This Row],[RATE]]*DataTable[[#This Row],[QTY]]</f>
        <v>0</v>
      </c>
      <c r="I69" s="76" t="n">
        <f aca="false">IF(OR(G69="Y",G69="y"),ROUND(H69*$B$10%,2),0)</f>
        <v>0</v>
      </c>
      <c r="J69" s="76" t="n">
        <f aca="false">DataTable[[#This Row],[SUB TOTAL]]+DataTable[[#This Row],[GST]]</f>
        <v>0</v>
      </c>
    </row>
    <row r="70" customFormat="false" ht="12.75" hidden="false" customHeight="false" outlineLevel="0" collapsed="false">
      <c r="A70" s="83"/>
      <c r="B70" s="83"/>
      <c r="C70" s="88"/>
      <c r="D70" s="88"/>
      <c r="E70" s="85"/>
      <c r="F70" s="80"/>
      <c r="G70" s="89"/>
      <c r="H70" s="75" t="n">
        <f aca="false">DataTable[[#This Row],[RATE]]*DataTable[[#This Row],[QTY]]</f>
        <v>0</v>
      </c>
      <c r="I70" s="76" t="n">
        <f aca="false">IF(OR(G70="Y",G70="y"),ROUND(H70*$B$10%,2),0)</f>
        <v>0</v>
      </c>
      <c r="J70" s="76" t="n">
        <f aca="false">DataTable[[#This Row],[SUB TOTAL]]+DataTable[[#This Row],[GST]]</f>
        <v>0</v>
      </c>
    </row>
    <row r="71" customFormat="false" ht="12.75" hidden="false" customHeight="false" outlineLevel="0" collapsed="false">
      <c r="A71" s="83"/>
      <c r="B71" s="83"/>
      <c r="C71" s="88"/>
      <c r="D71" s="88"/>
      <c r="E71" s="85"/>
      <c r="F71" s="80"/>
      <c r="G71" s="89"/>
      <c r="H71" s="75" t="n">
        <f aca="false">DataTable[[#This Row],[RATE]]*DataTable[[#This Row],[QTY]]</f>
        <v>0</v>
      </c>
      <c r="I71" s="76" t="n">
        <f aca="false">IF(OR(G71="Y",G71="y"),ROUND(H71*$B$10%,2),0)</f>
        <v>0</v>
      </c>
      <c r="J71" s="76" t="n">
        <f aca="false">DataTable[[#This Row],[SUB TOTAL]]+DataTable[[#This Row],[GST]]</f>
        <v>0</v>
      </c>
    </row>
    <row r="72" customFormat="false" ht="12.75" hidden="false" customHeight="false" outlineLevel="0" collapsed="false">
      <c r="A72" s="83"/>
      <c r="B72" s="83"/>
      <c r="C72" s="88"/>
      <c r="D72" s="88"/>
      <c r="E72" s="85"/>
      <c r="F72" s="80"/>
      <c r="G72" s="89"/>
      <c r="H72" s="75" t="n">
        <f aca="false">DataTable[[#This Row],[RATE]]*DataTable[[#This Row],[QTY]]</f>
        <v>0</v>
      </c>
      <c r="I72" s="76" t="n">
        <f aca="false">IF(OR(G72="Y",G72="y"),ROUND(H72*$B$10%,2),0)</f>
        <v>0</v>
      </c>
      <c r="J72" s="76" t="n">
        <f aca="false">DataTable[[#This Row],[SUB TOTAL]]+DataTable[[#This Row],[GST]]</f>
        <v>0</v>
      </c>
    </row>
    <row r="73" customFormat="false" ht="12.75" hidden="false" customHeight="false" outlineLevel="0" collapsed="false">
      <c r="A73" s="83"/>
      <c r="B73" s="83"/>
      <c r="C73" s="88"/>
      <c r="D73" s="88"/>
      <c r="E73" s="85"/>
      <c r="F73" s="83"/>
      <c r="G73" s="90"/>
      <c r="H73" s="75" t="n">
        <f aca="false">DataTable[[#This Row],[RATE]]*DataTable[[#This Row],[QTY]]</f>
        <v>0</v>
      </c>
      <c r="I73" s="76" t="n">
        <f aca="false">IF(OR(G73="Y",G73="y"),ROUND(H73*$B$10%,2),0)</f>
        <v>0</v>
      </c>
      <c r="J73" s="76" t="n">
        <f aca="false">DataTable[[#This Row],[SUB TOTAL]]+DataTable[[#This Row],[GST]]</f>
        <v>0</v>
      </c>
    </row>
    <row r="74" customFormat="false" ht="12.75" hidden="false" customHeight="false" outlineLevel="0" collapsed="false">
      <c r="A74" s="83"/>
      <c r="B74" s="83"/>
      <c r="C74" s="88"/>
      <c r="D74" s="88"/>
      <c r="E74" s="85"/>
      <c r="F74" s="83"/>
      <c r="G74" s="90"/>
      <c r="H74" s="75" t="n">
        <f aca="false">DataTable[[#This Row],[RATE]]*DataTable[[#This Row],[QTY]]</f>
        <v>0</v>
      </c>
      <c r="I74" s="76" t="n">
        <f aca="false">IF(OR(G74="Y",G74="y"),ROUND(H74*$B$10%,2),0)</f>
        <v>0</v>
      </c>
      <c r="J74" s="76" t="n">
        <f aca="false">DataTable[[#This Row],[SUB TOTAL]]+DataTable[[#This Row],[GST]]</f>
        <v>0</v>
      </c>
    </row>
    <row r="75" customFormat="false" ht="12.75" hidden="false" customHeight="false" outlineLevel="0" collapsed="false">
      <c r="A75" s="83"/>
      <c r="B75" s="83"/>
      <c r="C75" s="88"/>
      <c r="D75" s="88"/>
      <c r="E75" s="85"/>
      <c r="F75" s="83"/>
      <c r="G75" s="90"/>
      <c r="H75" s="75" t="n">
        <f aca="false">DataTable[[#This Row],[RATE]]*DataTable[[#This Row],[QTY]]</f>
        <v>0</v>
      </c>
      <c r="I75" s="76" t="n">
        <f aca="false">IF(OR(G75="Y",G75="y"),ROUND(H75*$B$10%,2),0)</f>
        <v>0</v>
      </c>
      <c r="J75" s="76" t="n">
        <f aca="false">DataTable[[#This Row],[SUB TOTAL]]+DataTable[[#This Row],[GST]]</f>
        <v>0</v>
      </c>
    </row>
    <row r="76" customFormat="false" ht="12.75" hidden="false" customHeight="false" outlineLevel="0" collapsed="false">
      <c r="A76" s="83"/>
      <c r="B76" s="83"/>
      <c r="C76" s="88"/>
      <c r="D76" s="88"/>
      <c r="E76" s="85"/>
      <c r="F76" s="83"/>
      <c r="G76" s="90"/>
      <c r="H76" s="75" t="n">
        <f aca="false">DataTable[[#This Row],[RATE]]*DataTable[[#This Row],[QTY]]</f>
        <v>0</v>
      </c>
      <c r="I76" s="76" t="n">
        <f aca="false">IF(OR(G76="Y",G76="y"),ROUND(H76*$B$10%,2),0)</f>
        <v>0</v>
      </c>
      <c r="J76" s="76" t="n">
        <f aca="false">DataTable[[#This Row],[SUB TOTAL]]+DataTable[[#This Row],[GST]]</f>
        <v>0</v>
      </c>
    </row>
    <row r="77" customFormat="false" ht="12.75" hidden="false" customHeight="false" outlineLevel="0" collapsed="false">
      <c r="A77" s="83"/>
      <c r="B77" s="83"/>
      <c r="C77" s="88"/>
      <c r="D77" s="88"/>
      <c r="E77" s="85"/>
      <c r="F77" s="83"/>
      <c r="G77" s="90"/>
      <c r="H77" s="75" t="n">
        <f aca="false">DataTable[[#This Row],[RATE]]*DataTable[[#This Row],[QTY]]</f>
        <v>0</v>
      </c>
      <c r="I77" s="76" t="n">
        <f aca="false">IF(OR(G77="Y",G77="y"),ROUND(H77*$B$10%,2),0)</f>
        <v>0</v>
      </c>
      <c r="J77" s="76" t="n">
        <f aca="false">DataTable[[#This Row],[SUB TOTAL]]+DataTable[[#This Row],[GST]]</f>
        <v>0</v>
      </c>
    </row>
    <row r="78" customFormat="false" ht="12.75" hidden="false" customHeight="false" outlineLevel="0" collapsed="false">
      <c r="A78" s="83"/>
      <c r="B78" s="83"/>
      <c r="C78" s="88"/>
      <c r="D78" s="88"/>
      <c r="E78" s="85"/>
      <c r="F78" s="83"/>
      <c r="G78" s="90"/>
      <c r="H78" s="75" t="n">
        <f aca="false">DataTable[[#This Row],[RATE]]*DataTable[[#This Row],[QTY]]</f>
        <v>0</v>
      </c>
      <c r="I78" s="76" t="n">
        <f aca="false">IF(OR(G78="Y",G78="y"),ROUND(H78*$B$10%,2),0)</f>
        <v>0</v>
      </c>
      <c r="J78" s="76" t="n">
        <f aca="false">DataTable[[#This Row],[SUB TOTAL]]+DataTable[[#This Row],[GST]]</f>
        <v>0</v>
      </c>
    </row>
    <row r="79" customFormat="false" ht="12.75" hidden="false" customHeight="false" outlineLevel="0" collapsed="false">
      <c r="A79" s="83"/>
      <c r="B79" s="83"/>
      <c r="C79" s="88"/>
      <c r="D79" s="88"/>
      <c r="E79" s="85"/>
      <c r="F79" s="83"/>
      <c r="G79" s="90"/>
      <c r="H79" s="75" t="n">
        <f aca="false">DataTable[[#This Row],[RATE]]*DataTable[[#This Row],[QTY]]</f>
        <v>0</v>
      </c>
      <c r="I79" s="76" t="n">
        <f aca="false">IF(OR(G79="Y",G79="y"),ROUND(H79*$B$10%,2),0)</f>
        <v>0</v>
      </c>
      <c r="J79" s="76" t="n">
        <f aca="false">DataTable[[#This Row],[SUB TOTAL]]+DataTable[[#This Row],[GST]]</f>
        <v>0</v>
      </c>
    </row>
    <row r="80" customFormat="false" ht="12.75" hidden="false" customHeight="false" outlineLevel="0" collapsed="false">
      <c r="A80" s="83"/>
      <c r="B80" s="83"/>
      <c r="C80" s="88"/>
      <c r="D80" s="88"/>
      <c r="E80" s="85"/>
      <c r="F80" s="83"/>
      <c r="G80" s="90"/>
      <c r="H80" s="75" t="n">
        <f aca="false">DataTable[[#This Row],[RATE]]*DataTable[[#This Row],[QTY]]</f>
        <v>0</v>
      </c>
      <c r="I80" s="76" t="n">
        <f aca="false">IF(OR(G80="Y",G80="y"),ROUND(H80*$B$10%,2),0)</f>
        <v>0</v>
      </c>
      <c r="J80" s="76" t="n">
        <f aca="false">DataTable[[#This Row],[SUB TOTAL]]+DataTable[[#This Row],[GST]]</f>
        <v>0</v>
      </c>
    </row>
    <row r="81" customFormat="false" ht="12.75" hidden="false" customHeight="false" outlineLevel="0" collapsed="false">
      <c r="A81" s="83"/>
      <c r="B81" s="83"/>
      <c r="C81" s="88"/>
      <c r="D81" s="88"/>
      <c r="E81" s="85"/>
      <c r="F81" s="83"/>
      <c r="G81" s="90"/>
      <c r="H81" s="75" t="n">
        <f aca="false">DataTable[[#This Row],[RATE]]*DataTable[[#This Row],[QTY]]</f>
        <v>0</v>
      </c>
      <c r="I81" s="76" t="n">
        <f aca="false">IF(OR(G81="Y",G81="y"),ROUND(H81*$B$10%,2),0)</f>
        <v>0</v>
      </c>
      <c r="J81" s="76" t="n">
        <f aca="false">DataTable[[#This Row],[SUB TOTAL]]+DataTable[[#This Row],[GST]]</f>
        <v>0</v>
      </c>
    </row>
    <row r="82" customFormat="false" ht="12.75" hidden="false" customHeight="false" outlineLevel="0" collapsed="false">
      <c r="A82" s="83"/>
      <c r="B82" s="83"/>
      <c r="C82" s="88"/>
      <c r="D82" s="88"/>
      <c r="E82" s="85"/>
      <c r="F82" s="83"/>
      <c r="G82" s="90"/>
      <c r="H82" s="75" t="n">
        <f aca="false">DataTable[[#This Row],[RATE]]*DataTable[[#This Row],[QTY]]</f>
        <v>0</v>
      </c>
      <c r="I82" s="76" t="n">
        <f aca="false">IF(OR(G82="Y",G82="y"),ROUND(H82*$B$10%,2),0)</f>
        <v>0</v>
      </c>
      <c r="J82" s="76" t="n">
        <f aca="false">DataTable[[#This Row],[SUB TOTAL]]+DataTable[[#This Row],[GST]]</f>
        <v>0</v>
      </c>
    </row>
    <row r="83" customFormat="false" ht="12.75" hidden="false" customHeight="false" outlineLevel="0" collapsed="false">
      <c r="A83" s="83"/>
      <c r="B83" s="83"/>
      <c r="C83" s="88"/>
      <c r="D83" s="88"/>
      <c r="E83" s="85"/>
      <c r="F83" s="83"/>
      <c r="G83" s="90"/>
      <c r="H83" s="75" t="n">
        <f aca="false">DataTable[[#This Row],[RATE]]*DataTable[[#This Row],[QTY]]</f>
        <v>0</v>
      </c>
      <c r="I83" s="76" t="n">
        <f aca="false">IF(OR(G83="Y",G83="y"),ROUND(H83*$B$10%,2),0)</f>
        <v>0</v>
      </c>
      <c r="J83" s="76" t="n">
        <f aca="false">DataTable[[#This Row],[SUB TOTAL]]+DataTable[[#This Row],[GST]]</f>
        <v>0</v>
      </c>
    </row>
    <row r="84" customFormat="false" ht="12.75" hidden="false" customHeight="false" outlineLevel="0" collapsed="false">
      <c r="A84" s="83"/>
      <c r="B84" s="83"/>
      <c r="C84" s="88"/>
      <c r="D84" s="88"/>
      <c r="E84" s="85"/>
      <c r="F84" s="83"/>
      <c r="G84" s="90"/>
      <c r="H84" s="75" t="n">
        <f aca="false">DataTable[[#This Row],[RATE]]*DataTable[[#This Row],[QTY]]</f>
        <v>0</v>
      </c>
      <c r="I84" s="76" t="n">
        <f aca="false">IF(OR(G84="Y",G84="y"),ROUND(H84*$B$10%,2),0)</f>
        <v>0</v>
      </c>
      <c r="J84" s="76" t="n">
        <f aca="false">DataTable[[#This Row],[SUB TOTAL]]+DataTable[[#This Row],[GST]]</f>
        <v>0</v>
      </c>
    </row>
    <row r="85" customFormat="false" ht="12.75" hidden="false" customHeight="false" outlineLevel="0" collapsed="false">
      <c r="A85" s="83"/>
      <c r="B85" s="83"/>
      <c r="C85" s="88"/>
      <c r="D85" s="88"/>
      <c r="E85" s="85"/>
      <c r="F85" s="83"/>
      <c r="G85" s="90"/>
      <c r="H85" s="75" t="n">
        <f aca="false">DataTable[[#This Row],[RATE]]*DataTable[[#This Row],[QTY]]</f>
        <v>0</v>
      </c>
      <c r="I85" s="76" t="n">
        <f aca="false">IF(OR(G85="Y",G85="y"),ROUND(H85*$B$10%,2),0)</f>
        <v>0</v>
      </c>
      <c r="J85" s="76" t="n">
        <f aca="false">DataTable[[#This Row],[SUB TOTAL]]+DataTable[[#This Row],[GST]]</f>
        <v>0</v>
      </c>
    </row>
    <row r="86" customFormat="false" ht="12.75" hidden="false" customHeight="false" outlineLevel="0" collapsed="false">
      <c r="A86" s="83"/>
      <c r="B86" s="83"/>
      <c r="C86" s="88"/>
      <c r="D86" s="88"/>
      <c r="E86" s="85"/>
      <c r="F86" s="83"/>
      <c r="G86" s="90"/>
      <c r="H86" s="75" t="n">
        <f aca="false">DataTable[[#This Row],[RATE]]*DataTable[[#This Row],[QTY]]</f>
        <v>0</v>
      </c>
      <c r="I86" s="76" t="n">
        <f aca="false">IF(OR(G86="Y",G86="y"),ROUND(H86*$B$10%,2),0)</f>
        <v>0</v>
      </c>
      <c r="J86" s="76" t="n">
        <f aca="false">DataTable[[#This Row],[SUB TOTAL]]+DataTable[[#This Row],[GST]]</f>
        <v>0</v>
      </c>
    </row>
    <row r="87" customFormat="false" ht="12.75" hidden="false" customHeight="false" outlineLevel="0" collapsed="false">
      <c r="A87" s="83"/>
      <c r="B87" s="83"/>
      <c r="C87" s="88"/>
      <c r="D87" s="88"/>
      <c r="E87" s="85"/>
      <c r="F87" s="83"/>
      <c r="G87" s="90"/>
      <c r="H87" s="75" t="n">
        <f aca="false">DataTable[[#This Row],[RATE]]*DataTable[[#This Row],[QTY]]</f>
        <v>0</v>
      </c>
      <c r="I87" s="76" t="n">
        <f aca="false">IF(OR(G87="Y",G87="y"),ROUND(H87*$B$10%,2),0)</f>
        <v>0</v>
      </c>
      <c r="J87" s="76" t="n">
        <f aca="false">DataTable[[#This Row],[SUB TOTAL]]+DataTable[[#This Row],[GST]]</f>
        <v>0</v>
      </c>
    </row>
    <row r="88" customFormat="false" ht="12.75" hidden="false" customHeight="false" outlineLevel="0" collapsed="false">
      <c r="A88" s="83"/>
      <c r="B88" s="83"/>
      <c r="C88" s="88"/>
      <c r="D88" s="88"/>
      <c r="E88" s="85"/>
      <c r="F88" s="83"/>
      <c r="G88" s="90"/>
      <c r="H88" s="75" t="n">
        <f aca="false">DataTable[[#This Row],[RATE]]*DataTable[[#This Row],[QTY]]</f>
        <v>0</v>
      </c>
      <c r="I88" s="76" t="n">
        <f aca="false">IF(OR(G88="Y",G88="y"),ROUND(H88*$B$10%,2),0)</f>
        <v>0</v>
      </c>
      <c r="J88" s="76" t="n">
        <f aca="false">DataTable[[#This Row],[SUB TOTAL]]+DataTable[[#This Row],[GST]]</f>
        <v>0</v>
      </c>
    </row>
    <row r="89" customFormat="false" ht="12.75" hidden="false" customHeight="false" outlineLevel="0" collapsed="false">
      <c r="A89" s="83"/>
      <c r="B89" s="83"/>
      <c r="C89" s="88"/>
      <c r="D89" s="88"/>
      <c r="E89" s="85"/>
      <c r="F89" s="83"/>
      <c r="G89" s="90"/>
      <c r="H89" s="75" t="n">
        <f aca="false">DataTable[[#This Row],[RATE]]*DataTable[[#This Row],[QTY]]</f>
        <v>0</v>
      </c>
      <c r="I89" s="76" t="n">
        <f aca="false">IF(OR(G89="Y",G89="y"),ROUND(H89*$B$10%,2),0)</f>
        <v>0</v>
      </c>
      <c r="J89" s="76" t="n">
        <f aca="false">DataTable[[#This Row],[SUB TOTAL]]+DataTable[[#This Row],[GST]]</f>
        <v>0</v>
      </c>
    </row>
    <row r="90" customFormat="false" ht="12.75" hidden="false" customHeight="false" outlineLevel="0" collapsed="false">
      <c r="A90" s="83"/>
      <c r="B90" s="83"/>
      <c r="C90" s="88"/>
      <c r="D90" s="88"/>
      <c r="E90" s="85"/>
      <c r="F90" s="83"/>
      <c r="G90" s="90"/>
      <c r="H90" s="75" t="n">
        <f aca="false">DataTable[[#This Row],[RATE]]*DataTable[[#This Row],[QTY]]</f>
        <v>0</v>
      </c>
      <c r="I90" s="76" t="n">
        <f aca="false">IF(OR(G90="Y",G90="y"),ROUND(H90*$B$10%,2),0)</f>
        <v>0</v>
      </c>
      <c r="J90" s="76" t="n">
        <f aca="false">DataTable[[#This Row],[SUB TOTAL]]+DataTable[[#This Row],[GST]]</f>
        <v>0</v>
      </c>
    </row>
    <row r="91" customFormat="false" ht="12.75" hidden="false" customHeight="false" outlineLevel="0" collapsed="false">
      <c r="A91" s="83"/>
      <c r="B91" s="83"/>
      <c r="C91" s="88"/>
      <c r="D91" s="88"/>
      <c r="E91" s="85"/>
      <c r="F91" s="83"/>
      <c r="G91" s="90"/>
      <c r="H91" s="75" t="n">
        <f aca="false">DataTable[[#This Row],[RATE]]*DataTable[[#This Row],[QTY]]</f>
        <v>0</v>
      </c>
      <c r="I91" s="76" t="n">
        <f aca="false">IF(OR(G91="Y",G91="y"),ROUND(H91*$B$10%,2),0)</f>
        <v>0</v>
      </c>
      <c r="J91" s="76" t="n">
        <f aca="false">DataTable[[#This Row],[SUB TOTAL]]+DataTable[[#This Row],[GST]]</f>
        <v>0</v>
      </c>
    </row>
    <row r="92" customFormat="false" ht="12.75" hidden="false" customHeight="false" outlineLevel="0" collapsed="false">
      <c r="A92" s="83"/>
      <c r="B92" s="83"/>
      <c r="C92" s="88"/>
      <c r="D92" s="88"/>
      <c r="E92" s="85"/>
      <c r="F92" s="83"/>
      <c r="G92" s="90"/>
      <c r="H92" s="75" t="n">
        <f aca="false">DataTable[[#This Row],[RATE]]*DataTable[[#This Row],[QTY]]</f>
        <v>0</v>
      </c>
      <c r="I92" s="76" t="n">
        <f aca="false">IF(OR(G92="Y",G92="y"),ROUND(H92*$B$10%,2),0)</f>
        <v>0</v>
      </c>
      <c r="J92" s="76" t="n">
        <f aca="false">DataTable[[#This Row],[SUB TOTAL]]+DataTable[[#This Row],[GST]]</f>
        <v>0</v>
      </c>
    </row>
    <row r="93" customFormat="false" ht="12.75" hidden="false" customHeight="false" outlineLevel="0" collapsed="false">
      <c r="A93" s="83"/>
      <c r="B93" s="83"/>
      <c r="C93" s="88"/>
      <c r="D93" s="88"/>
      <c r="E93" s="85"/>
      <c r="F93" s="83"/>
      <c r="G93" s="90"/>
      <c r="H93" s="75" t="n">
        <f aca="false">DataTable[[#This Row],[RATE]]*DataTable[[#This Row],[QTY]]</f>
        <v>0</v>
      </c>
      <c r="I93" s="76" t="n">
        <f aca="false">IF(OR(G93="Y",G93="y"),ROUND(H93*$B$10%,2),0)</f>
        <v>0</v>
      </c>
      <c r="J93" s="76" t="n">
        <f aca="false">DataTable[[#This Row],[SUB TOTAL]]+DataTable[[#This Row],[GST]]</f>
        <v>0</v>
      </c>
    </row>
    <row r="94" customFormat="false" ht="12.75" hidden="false" customHeight="false" outlineLevel="0" collapsed="false">
      <c r="A94" s="83"/>
      <c r="B94" s="83"/>
      <c r="C94" s="88"/>
      <c r="D94" s="88"/>
      <c r="E94" s="85"/>
      <c r="F94" s="83"/>
      <c r="G94" s="90"/>
      <c r="H94" s="75" t="n">
        <f aca="false">DataTable[[#This Row],[RATE]]*DataTable[[#This Row],[QTY]]</f>
        <v>0</v>
      </c>
      <c r="I94" s="76" t="n">
        <f aca="false">IF(OR(G94="Y",G94="y"),ROUND(H94*$B$10%,2),0)</f>
        <v>0</v>
      </c>
      <c r="J94" s="76" t="n">
        <f aca="false">DataTable[[#This Row],[SUB TOTAL]]+DataTable[[#This Row],[GST]]</f>
        <v>0</v>
      </c>
    </row>
    <row r="95" customFormat="false" ht="12.75" hidden="false" customHeight="false" outlineLevel="0" collapsed="false">
      <c r="A95" s="83"/>
      <c r="B95" s="83"/>
      <c r="C95" s="88"/>
      <c r="D95" s="88"/>
      <c r="E95" s="85"/>
      <c r="F95" s="83"/>
      <c r="G95" s="90"/>
      <c r="H95" s="75" t="n">
        <f aca="false">DataTable[[#This Row],[RATE]]*DataTable[[#This Row],[QTY]]</f>
        <v>0</v>
      </c>
      <c r="I95" s="76" t="n">
        <f aca="false">IF(OR(G95="Y",G95="y"),ROUND(H95*$B$10%,2),0)</f>
        <v>0</v>
      </c>
      <c r="J95" s="76" t="n">
        <f aca="false">DataTable[[#This Row],[SUB TOTAL]]+DataTable[[#This Row],[GST]]</f>
        <v>0</v>
      </c>
    </row>
    <row r="96" customFormat="false" ht="12.75" hidden="false" customHeight="false" outlineLevel="0" collapsed="false">
      <c r="A96" s="83"/>
      <c r="B96" s="83"/>
      <c r="C96" s="88"/>
      <c r="D96" s="88"/>
      <c r="E96" s="85"/>
      <c r="F96" s="83"/>
      <c r="G96" s="90"/>
      <c r="H96" s="75" t="n">
        <f aca="false">DataTable[[#This Row],[RATE]]*DataTable[[#This Row],[QTY]]</f>
        <v>0</v>
      </c>
      <c r="I96" s="76" t="n">
        <f aca="false">IF(OR(G96="Y",G96="y"),ROUND(H96*$B$10%,2),0)</f>
        <v>0</v>
      </c>
      <c r="J96" s="76" t="n">
        <f aca="false">DataTable[[#This Row],[SUB TOTAL]]+DataTable[[#This Row],[GST]]</f>
        <v>0</v>
      </c>
    </row>
    <row r="97" customFormat="false" ht="12.75" hidden="false" customHeight="false" outlineLevel="0" collapsed="false">
      <c r="A97" s="83"/>
      <c r="B97" s="83"/>
      <c r="C97" s="88"/>
      <c r="D97" s="88"/>
      <c r="E97" s="85"/>
      <c r="F97" s="83"/>
      <c r="G97" s="90"/>
      <c r="H97" s="75" t="n">
        <f aca="false">DataTable[[#This Row],[RATE]]*DataTable[[#This Row],[QTY]]</f>
        <v>0</v>
      </c>
      <c r="I97" s="76" t="n">
        <f aca="false">IF(OR(G97="Y",G97="y"),ROUND(H97*$B$10%,2),0)</f>
        <v>0</v>
      </c>
      <c r="J97" s="76" t="n">
        <f aca="false">DataTable[[#This Row],[SUB TOTAL]]+DataTable[[#This Row],[GST]]</f>
        <v>0</v>
      </c>
    </row>
    <row r="98" customFormat="false" ht="12.75" hidden="false" customHeight="false" outlineLevel="0" collapsed="false">
      <c r="A98" s="83"/>
      <c r="B98" s="83"/>
      <c r="C98" s="88"/>
      <c r="D98" s="88"/>
      <c r="E98" s="85"/>
      <c r="F98" s="83"/>
      <c r="G98" s="90"/>
      <c r="H98" s="75" t="n">
        <f aca="false">DataTable[[#This Row],[RATE]]*DataTable[[#This Row],[QTY]]</f>
        <v>0</v>
      </c>
      <c r="I98" s="76" t="n">
        <f aca="false">IF(OR(G98="Y",G98="y"),ROUND(H98*$B$10%,2),0)</f>
        <v>0</v>
      </c>
      <c r="J98" s="76" t="n">
        <f aca="false">DataTable[[#This Row],[SUB TOTAL]]+DataTable[[#This Row],[GST]]</f>
        <v>0</v>
      </c>
    </row>
    <row r="99" customFormat="false" ht="12.75" hidden="false" customHeight="false" outlineLevel="0" collapsed="false">
      <c r="A99" s="83"/>
      <c r="B99" s="83"/>
      <c r="C99" s="88"/>
      <c r="D99" s="88"/>
      <c r="E99" s="85"/>
      <c r="F99" s="83"/>
      <c r="G99" s="90"/>
      <c r="H99" s="75" t="n">
        <f aca="false">DataTable[[#This Row],[RATE]]*DataTable[[#This Row],[QTY]]</f>
        <v>0</v>
      </c>
      <c r="I99" s="76" t="n">
        <f aca="false">IF(OR(G99="Y",G99="y"),ROUND(H99*$B$10%,2),0)</f>
        <v>0</v>
      </c>
      <c r="J99" s="76" t="n">
        <f aca="false">DataTable[[#This Row],[SUB TOTAL]]+DataTable[[#This Row],[GST]]</f>
        <v>0</v>
      </c>
    </row>
    <row r="100" customFormat="false" ht="12.75" hidden="false" customHeight="false" outlineLevel="0" collapsed="false">
      <c r="A100" s="83"/>
      <c r="B100" s="83"/>
      <c r="C100" s="88"/>
      <c r="D100" s="88"/>
      <c r="E100" s="85"/>
      <c r="F100" s="80"/>
      <c r="G100" s="90"/>
      <c r="H100" s="75" t="n">
        <f aca="false">DataTable[[#This Row],[RATE]]*DataTable[[#This Row],[QTY]]</f>
        <v>0</v>
      </c>
      <c r="I100" s="76" t="n">
        <f aca="false">IF(OR(G100="Y",G100="y"),ROUND(H100*$B$10%,2),0)</f>
        <v>0</v>
      </c>
      <c r="J100" s="76" t="n">
        <f aca="false">DataTable[[#This Row],[SUB TOTAL]]+DataTable[[#This Row],[GST]]</f>
        <v>0</v>
      </c>
    </row>
  </sheetData>
  <mergeCells count="1">
    <mergeCell ref="B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2020-12-09T04:45:26Z</dcterms:created>
  <dc:creator>Wafa</dc:creator>
  <dc:description/>
  <dc:language>en-US</dc:language>
  <cp:lastModifiedBy/>
  <dcterms:modified xsi:type="dcterms:W3CDTF">2026-08-05T09:27:19Z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0x0101004C30971C9FFA174ABA2B0CA8773066E3</vt:lpwstr>
  </property>
</Properties>
</file>